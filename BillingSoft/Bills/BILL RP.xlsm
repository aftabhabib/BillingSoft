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tin Patel\Documents\visual studio\Billing Software\sample bills\"/>
    </mc:Choice>
  </mc:AlternateContent>
  <bookViews>
    <workbookView xWindow="0" yWindow="0" windowWidth="20490" windowHeight="7755"/>
  </bookViews>
  <sheets>
    <sheet name="Sales Order" sheetId="1" r:id="rId1"/>
  </sheets>
  <functionGroups builtInGroupCount="18"/>
  <definedNames>
    <definedName name="_xlnm.Print_Area" localSheetId="0">'Sales Order'!$A$1:$G$43</definedName>
  </definedNames>
  <calcPr calcId="152511"/>
</workbook>
</file>

<file path=xl/calcChain.xml><?xml version="1.0" encoding="utf-8"?>
<calcChain xmlns="http://schemas.openxmlformats.org/spreadsheetml/2006/main">
  <c r="F18" i="1" l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F17" i="1"/>
  <c r="C17" i="1"/>
  <c r="G18" i="1" l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17" i="1"/>
  <c r="G34" i="1" l="1"/>
  <c r="G36" i="1" l="1"/>
  <c r="G35" i="1"/>
  <c r="A40" i="1" l="1"/>
  <c r="G38" i="1" s="1"/>
  <c r="A39" i="1"/>
  <c r="G37" i="1" l="1"/>
</calcChain>
</file>

<file path=xl/sharedStrings.xml><?xml version="1.0" encoding="utf-8"?>
<sst xmlns="http://schemas.openxmlformats.org/spreadsheetml/2006/main" count="106" uniqueCount="104">
  <si>
    <t>Total</t>
  </si>
  <si>
    <t>No.</t>
  </si>
  <si>
    <t>Dr. No</t>
  </si>
  <si>
    <t>Particulars</t>
  </si>
  <si>
    <t>QTY</t>
  </si>
  <si>
    <t>Rates</t>
  </si>
  <si>
    <t>Amount</t>
  </si>
  <si>
    <t>G. Total</t>
  </si>
  <si>
    <t>S GST-9%</t>
  </si>
  <si>
    <t>GSTIN-24AMTPP3847M1Z8</t>
  </si>
  <si>
    <t>C  GST-9%</t>
  </si>
  <si>
    <t>14SNT-Miter Gauge Rip.Lock</t>
  </si>
  <si>
    <t>DUPALICATE</t>
  </si>
  <si>
    <t>+</t>
  </si>
  <si>
    <t>20/20/20</t>
  </si>
  <si>
    <t>Code</t>
  </si>
  <si>
    <t>Description</t>
  </si>
  <si>
    <t>Price</t>
  </si>
  <si>
    <t xml:space="preserve">New Clamping Choras -MS </t>
  </si>
  <si>
    <t>Flat For New CI mitre Gauge</t>
  </si>
  <si>
    <t>Pf-Job Gauge Slotted Angle</t>
  </si>
  <si>
    <t>EB -Dist. Wiper Paxking RH(Allu)</t>
  </si>
  <si>
    <t>EB-Dist.wiper packing LH</t>
  </si>
  <si>
    <t xml:space="preserve">EB-Wiper Plate </t>
  </si>
  <si>
    <t>EB-Front Wiper Plate RH</t>
  </si>
  <si>
    <t>EB-Knife Small</t>
  </si>
  <si>
    <t>Eb-Knife plate small</t>
  </si>
  <si>
    <t>Eb-Knife Guide Bracket -small</t>
  </si>
  <si>
    <t>EB-adjusting Bracket small</t>
  </si>
  <si>
    <t>EB -Guide Bracket small</t>
  </si>
  <si>
    <t>EB-support angle new</t>
  </si>
  <si>
    <t>NR-motor HSg. MS round Plate</t>
  </si>
  <si>
    <t>NR-Motor hsg. MS Flat-1set</t>
  </si>
  <si>
    <t>CL-Cutter Fitting Bracket (MS)</t>
  </si>
  <si>
    <t>AEB-Gilating guid Top</t>
  </si>
  <si>
    <t>AEB-Gilating guid Bottom</t>
  </si>
  <si>
    <t>AEB-Gilating guid Cutter</t>
  </si>
  <si>
    <t>AEB-Edge Ms guide Buttom</t>
  </si>
  <si>
    <t>AEB- Conveyor stooper lock</t>
  </si>
  <si>
    <t>AEB-Belt Alignment Brkt.</t>
  </si>
  <si>
    <t>AEB-Refernce angle</t>
  </si>
  <si>
    <t>AEB-Aluuminium Refence</t>
  </si>
  <si>
    <t>AEB-Guide</t>
  </si>
  <si>
    <t>AEB-Wood Support Angle</t>
  </si>
  <si>
    <t>AEB-Limit Switch Mounting</t>
  </si>
  <si>
    <t>EBE-Wodden Support Angle</t>
  </si>
  <si>
    <t>EBE-Geliting Cylinderr Mounting Bkt.</t>
  </si>
  <si>
    <t>EBE-Geliting Knife</t>
  </si>
  <si>
    <t>EBE-Knife Guide Slotted Plate</t>
  </si>
  <si>
    <t>EBE-Main Top Table Bearing Housing</t>
  </si>
  <si>
    <t>ETR-End Cutting Knife Guide Bkt</t>
  </si>
  <si>
    <t>ETR-Trimming Buffing Ripfence Angle</t>
  </si>
  <si>
    <t>ETR-Lateral Adjust Stud Nut Bkt.</t>
  </si>
  <si>
    <t>ETR-Buttom Trimming Cutter Fitting Angle</t>
  </si>
  <si>
    <t>ETR-Trimming Buffing Ripfence Angle LH</t>
  </si>
  <si>
    <t>DH-Cylinder Mounting Hing Upper Bkt</t>
  </si>
  <si>
    <t>DH-Cylinder Mounting Hing Bottom Bkt</t>
  </si>
  <si>
    <t>DH-Tilting Head Work Piece Stopper Big Flat</t>
  </si>
  <si>
    <t>TH-Vertical Head Linear Brg Mtg Plate</t>
  </si>
  <si>
    <t>TH-Stopper Cyl Lance Fitting Angle</t>
  </si>
  <si>
    <t>ETR-Alluminium Refeence</t>
  </si>
  <si>
    <t>TFRG-Giletin Cutter Flat</t>
  </si>
  <si>
    <t>TFRG-Giletin Cutter</t>
  </si>
  <si>
    <t>TFRG-Glue Tank 30mm Square</t>
  </si>
  <si>
    <t>TFRG-Conveyor Infeed Bottom Plate</t>
  </si>
  <si>
    <t>TFRC-Conveyor Outfeed Buttom Plate</t>
  </si>
  <si>
    <t>TFRC-Conveyor Infeed Buttom Plate</t>
  </si>
  <si>
    <t>TFRP-Premilling Cylinder Mtg Flat.</t>
  </si>
  <si>
    <t>AEB-Gilating Cutter Vert. Flat</t>
  </si>
  <si>
    <t>AEB-Conveyor Locking M.S. Bkt</t>
  </si>
  <si>
    <t>AEB- Proxy Stand</t>
  </si>
  <si>
    <t>AEB- End Cutting Cutter Support</t>
  </si>
  <si>
    <t>AEB-Adjustment Ripfence</t>
  </si>
  <si>
    <t>TFW-Knurling Roller Cage</t>
  </si>
  <si>
    <t>TFW-Knurling Roller Cycling Mtg Bkt</t>
  </si>
  <si>
    <t xml:space="preserve">TFW-Gilating Knife </t>
  </si>
  <si>
    <t>TFW-Gilating Knife  Plate</t>
  </si>
  <si>
    <t>TFW-Gilating Knife Plate Bkt.</t>
  </si>
  <si>
    <t>TFW-Conveyor In feed Buttom Plate</t>
  </si>
  <si>
    <t>AEB-Conveyor In-feed Plate Base</t>
  </si>
  <si>
    <t>AEB-Conveyor Out-feed Plate Base</t>
  </si>
  <si>
    <t xml:space="preserve">AEB-Conveyor In-feed Plate </t>
  </si>
  <si>
    <t xml:space="preserve">AEB-Conveyor Out-feed Plate </t>
  </si>
  <si>
    <t>AEB-Glue Tank L-Type Bkt</t>
  </si>
  <si>
    <t>AEB-End Cutting Cutter Support Front</t>
  </si>
  <si>
    <t>AEB-End Cutting Cutter Support Rear</t>
  </si>
  <si>
    <t>TFW-Conveyor Out feed Buttom Plate</t>
  </si>
  <si>
    <t>EBE-Wooden Support Angle</t>
  </si>
  <si>
    <t>ARB-Wood Guide Sliding Flate -Ms</t>
  </si>
  <si>
    <t>HVS-Table Locking Bracket -MS</t>
  </si>
  <si>
    <t>HVS-Meter Guage T-Flat -MS</t>
  </si>
  <si>
    <t>THM-Wood Guide Sliding Flat -MS</t>
  </si>
  <si>
    <t>OVS-Worm Gear Movement Sup.Bkt-MS</t>
  </si>
  <si>
    <t>42DS-T-Table Fitting L-Type Flat MS</t>
  </si>
  <si>
    <t>TFRG-Glue Tank Gear Box Uni. Joint Shaft</t>
  </si>
  <si>
    <t>TFRC-Conveyor In Feed Plate</t>
  </si>
  <si>
    <t>TFRC-Conveyor In Feed Plate Big Slotted</t>
  </si>
  <si>
    <t>TFRC-Conveyor In Feed Plate Small Slotted</t>
  </si>
  <si>
    <t>TFRC-Conveyor In Feed Plate Small Flat</t>
  </si>
  <si>
    <t>TFRC-Conveyor Out Feed Plate</t>
  </si>
  <si>
    <t>TFRC-Conveyor Out Feed Plate Cut-Out</t>
  </si>
  <si>
    <t>TFRC-Conveyor Out Feed Plate Plain Flat</t>
  </si>
  <si>
    <t>TFRC-RC-Conveyor In Feed Plate</t>
  </si>
  <si>
    <t>TFW-Conveyor In Feed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</si>
</sst>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</numFmts>
  <fonts count="20" x14ac:knownFonts="1">
    <font>
      <sz val="10"/>
      <name val="Arial"/>
    </font>
    <font>
      <sz val="8"/>
      <name val="Arial"/>
      <family val="2"/>
    </font>
    <font>
      <sz val="12"/>
      <color theme="1" tint="0.14999847407452621"/>
      <name val="Century Gothic"/>
      <family val="2"/>
      <scheme val="minor"/>
    </font>
    <font>
      <sz val="38"/>
      <color theme="0" tint="-0.34998626667073579"/>
      <name val="Century Gothic"/>
      <family val="2"/>
      <scheme val="major"/>
    </font>
    <font>
      <sz val="10"/>
      <color theme="1" tint="0.14999847407452621"/>
      <name val="Century Gothic"/>
      <family val="2"/>
      <scheme val="minor"/>
    </font>
    <font>
      <sz val="8"/>
      <color theme="1" tint="0.14999847407452621"/>
      <name val="Century Gothic"/>
      <family val="2"/>
      <scheme val="minor"/>
    </font>
    <font>
      <sz val="8"/>
      <color theme="1" tint="0.14999847407452621"/>
      <name val="Century Gothic"/>
      <family val="2"/>
      <scheme val="major"/>
    </font>
    <font>
      <sz val="7.5"/>
      <color theme="0" tint="-0.34998626667073579"/>
      <name val="Century Gothic"/>
      <family val="2"/>
      <scheme val="minor"/>
    </font>
    <font>
      <i/>
      <sz val="7"/>
      <color theme="1" tint="0.14999847407452621"/>
      <name val="Century Gothic"/>
      <family val="2"/>
      <scheme val="minor"/>
    </font>
    <font>
      <b/>
      <sz val="8"/>
      <color theme="1" tint="0.14999847407452621"/>
      <name val="Century Gothic"/>
      <family val="2"/>
      <scheme val="minor"/>
    </font>
    <font>
      <sz val="7.5"/>
      <color theme="1" tint="0.14999847407452621"/>
      <name val="Century Gothic"/>
      <family val="2"/>
      <scheme val="minor"/>
    </font>
    <font>
      <sz val="9"/>
      <color theme="1" tint="0.14999847407452621"/>
      <name val="Century Gothic"/>
      <family val="2"/>
      <scheme val="minor"/>
    </font>
    <font>
      <i/>
      <sz val="8"/>
      <color theme="1" tint="0.14999847407452621"/>
      <name val="Century Gothic"/>
      <family val="2"/>
      <scheme val="minor"/>
    </font>
    <font>
      <b/>
      <sz val="10"/>
      <color theme="1" tint="0.14999847407452621"/>
      <name val="Century Gothic"/>
      <family val="2"/>
      <scheme val="minor"/>
    </font>
    <font>
      <b/>
      <i/>
      <sz val="10"/>
      <color theme="1" tint="0.14999847407452621"/>
      <name val="Century Gothic"/>
      <family val="2"/>
      <scheme val="minor"/>
    </font>
    <font>
      <b/>
      <sz val="14"/>
      <color theme="1" tint="0.14999847407452621"/>
      <name val="Century Gothic"/>
      <family val="2"/>
      <scheme val="minor"/>
    </font>
    <font>
      <b/>
      <sz val="12"/>
      <color theme="1" tint="0.14999847407452621"/>
      <name val="Century Gothic"/>
      <family val="2"/>
      <scheme val="minor"/>
    </font>
    <font>
      <sz val="12"/>
      <color theme="1" tint="0.14999847407452621"/>
      <name val="Calibri"/>
      <family val="2"/>
    </font>
    <font>
      <sz val="12"/>
      <color theme="1" tint="0.14996795556505021"/>
      <name val="Calibri"/>
      <family val="2"/>
    </font>
    <font>
      <b/>
      <sz val="14"/>
      <color theme="1" tint="0.1499984740745262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2" borderId="0" xfId="0" applyFont="1" applyFill="1" applyBorder="1" applyAlignment="1">
      <alignment horizontal="left" indent="1"/>
    </xf>
    <xf numFmtId="0" fontId="3" fillId="2" borderId="0" xfId="0" applyFont="1" applyFill="1" applyBorder="1" applyAlignment="1"/>
    <xf numFmtId="0" fontId="4" fillId="0" borderId="0" xfId="0" applyFont="1"/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 applyAlignment="1"/>
    <xf numFmtId="0" fontId="5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2" borderId="0" xfId="0" applyFont="1" applyFill="1" applyBorder="1" applyAlignment="1">
      <alignment vertical="top"/>
    </xf>
    <xf numFmtId="0" fontId="8" fillId="2" borderId="0" xfId="0" applyFont="1" applyFill="1" applyBorder="1" applyAlignment="1">
      <alignment vertical="center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/>
    <xf numFmtId="0" fontId="6" fillId="2" borderId="0" xfId="0" applyFont="1" applyFill="1"/>
    <xf numFmtId="0" fontId="9" fillId="2" borderId="0" xfId="0" applyFont="1" applyFill="1" applyAlignment="1">
      <alignment horizontal="left"/>
    </xf>
    <xf numFmtId="0" fontId="5" fillId="2" borderId="0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10" fillId="2" borderId="0" xfId="0" applyNumberFormat="1" applyFont="1" applyFill="1" applyBorder="1" applyAlignment="1">
      <alignment horizontal="left" vertical="center" indent="1"/>
    </xf>
    <xf numFmtId="0" fontId="10" fillId="2" borderId="0" xfId="0" applyFont="1" applyFill="1" applyBorder="1" applyAlignment="1">
      <alignment horizontal="left" vertical="center" indent="1"/>
    </xf>
    <xf numFmtId="165" fontId="10" fillId="2" borderId="0" xfId="0" applyNumberFormat="1" applyFont="1" applyFill="1" applyBorder="1" applyAlignment="1">
      <alignment horizontal="left" vertical="center" indent="1"/>
    </xf>
    <xf numFmtId="0" fontId="4" fillId="0" borderId="0" xfId="0" applyFont="1" applyBorder="1"/>
    <xf numFmtId="165" fontId="5" fillId="2" borderId="0" xfId="0" applyNumberFormat="1" applyFont="1" applyFill="1" applyBorder="1" applyAlignment="1"/>
    <xf numFmtId="2" fontId="10" fillId="2" borderId="1" xfId="0" applyNumberFormat="1" applyFont="1" applyFill="1" applyBorder="1" applyAlignment="1">
      <alignment horizontal="left" vertical="center" indent="1"/>
    </xf>
    <xf numFmtId="0" fontId="10" fillId="2" borderId="1" xfId="0" applyNumberFormat="1" applyFont="1" applyFill="1" applyBorder="1" applyAlignment="1">
      <alignment horizontal="left" vertical="center" indent="1"/>
    </xf>
    <xf numFmtId="0" fontId="5" fillId="2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12" fillId="2" borderId="0" xfId="0" applyFont="1" applyFill="1" applyBorder="1"/>
    <xf numFmtId="0" fontId="14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6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2" borderId="1" xfId="0" applyNumberFormat="1" applyFont="1" applyFill="1" applyBorder="1" applyAlignment="1">
      <alignment horizontal="center" vertical="center"/>
    </xf>
    <xf numFmtId="0" fontId="18" fillId="2" borderId="1" xfId="0" applyNumberFormat="1" applyFont="1" applyFill="1" applyBorder="1" applyAlignment="1">
      <alignment horizontal="center" vertical="center"/>
    </xf>
    <xf numFmtId="43" fontId="17" fillId="2" borderId="1" xfId="0" applyNumberFormat="1" applyFont="1" applyFill="1" applyBorder="1" applyAlignment="1">
      <alignment horizontal="right" vertical="center" wrapText="1"/>
    </xf>
    <xf numFmtId="43" fontId="2" fillId="3" borderId="1" xfId="0" applyNumberFormat="1" applyFont="1" applyFill="1" applyBorder="1" applyAlignment="1">
      <alignment horizontal="right" vertical="center" wrapText="1" indent="1"/>
    </xf>
    <xf numFmtId="164" fontId="19" fillId="2" borderId="0" xfId="0" applyNumberFormat="1" applyFont="1" applyFill="1" applyAlignment="1">
      <alignment horizontal="left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 indent="1"/>
    </xf>
    <xf numFmtId="0" fontId="11" fillId="2" borderId="2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44" fontId="16" fillId="3" borderId="7" xfId="0" applyNumberFormat="1" applyFont="1" applyFill="1" applyBorder="1" applyAlignment="1">
      <alignment horizontal="center" vertical="center"/>
    </xf>
    <xf numFmtId="44" fontId="16" fillId="3" borderId="8" xfId="0" applyNumberFormat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43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</cellXfs>
  <cellStyles count="1">
    <cellStyle name="Normal" xfId="0" builtinId="0"/>
  </cellStyles>
  <dxfs count="5">
    <dxf>
      <numFmt numFmtId="166" formatCode=";;;"/>
    </dxf>
    <dxf>
      <numFmt numFmtId="166" formatCode=";;;"/>
    </dxf>
    <dxf>
      <numFmt numFmtId="166" formatCode=";;;"/>
    </dxf>
    <dxf>
      <numFmt numFmtId="166" formatCode=";;;"/>
    </dxf>
    <dxf>
      <numFmt numFmtId="166" formatCode=";;;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12</xdr:row>
      <xdr:rowOff>0</xdr:rowOff>
    </xdr:from>
    <xdr:to>
      <xdr:col>4</xdr:col>
      <xdr:colOff>171450</xdr:colOff>
      <xdr:row>12</xdr:row>
      <xdr:rowOff>0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xmlns="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1781175" y="2714625"/>
          <a:ext cx="1714500" cy="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6</xdr:row>
      <xdr:rowOff>123825</xdr:rowOff>
    </xdr:from>
    <xdr:to>
      <xdr:col>4</xdr:col>
      <xdr:colOff>0</xdr:colOff>
      <xdr:row>14</xdr:row>
      <xdr:rowOff>257175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5B6F94F8-7DD9-4B64-B5CD-8E3902FB66C7}"/>
            </a:ext>
          </a:extLst>
        </xdr:cNvPr>
        <xdr:cNvSpPr/>
      </xdr:nvSpPr>
      <xdr:spPr>
        <a:xfrm>
          <a:off x="0" y="1647825"/>
          <a:ext cx="3638550" cy="1543050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90645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67150"/>
            <a:gd name="connsiteY0" fmla="*/ 219080 h 1562100"/>
            <a:gd name="connsiteX1" fmla="*/ 161930 w 3867150"/>
            <a:gd name="connsiteY1" fmla="*/ 19050 h 1562100"/>
            <a:gd name="connsiteX2" fmla="*/ 3695695 w 3867150"/>
            <a:gd name="connsiteY2" fmla="*/ 0 h 1562100"/>
            <a:gd name="connsiteX3" fmla="*/ 3867150 w 3867150"/>
            <a:gd name="connsiteY3" fmla="*/ 219080 h 1562100"/>
            <a:gd name="connsiteX4" fmla="*/ 3857625 w 3867150"/>
            <a:gd name="connsiteY4" fmla="*/ 1390645 h 1562100"/>
            <a:gd name="connsiteX5" fmla="*/ 3676645 w 3867150"/>
            <a:gd name="connsiteY5" fmla="*/ 1562100 h 1562100"/>
            <a:gd name="connsiteX6" fmla="*/ 190505 w 3867150"/>
            <a:gd name="connsiteY6" fmla="*/ 1552575 h 1562100"/>
            <a:gd name="connsiteX7" fmla="*/ 0 w 3867150"/>
            <a:gd name="connsiteY7" fmla="*/ 1381120 h 1562100"/>
            <a:gd name="connsiteX8" fmla="*/ 9525 w 3867150"/>
            <a:gd name="connsiteY8" fmla="*/ 219080 h 1562100"/>
            <a:gd name="connsiteX0" fmla="*/ 9525 w 3867150"/>
            <a:gd name="connsiteY0" fmla="*/ 200030 h 1543050"/>
            <a:gd name="connsiteX1" fmla="*/ 161930 w 3867150"/>
            <a:gd name="connsiteY1" fmla="*/ 0 h 1543050"/>
            <a:gd name="connsiteX2" fmla="*/ 3667120 w 3867150"/>
            <a:gd name="connsiteY2" fmla="*/ 9525 h 1543050"/>
            <a:gd name="connsiteX3" fmla="*/ 3867150 w 3867150"/>
            <a:gd name="connsiteY3" fmla="*/ 200030 h 1543050"/>
            <a:gd name="connsiteX4" fmla="*/ 3857625 w 3867150"/>
            <a:gd name="connsiteY4" fmla="*/ 1371595 h 1543050"/>
            <a:gd name="connsiteX5" fmla="*/ 3676645 w 3867150"/>
            <a:gd name="connsiteY5" fmla="*/ 1543050 h 1543050"/>
            <a:gd name="connsiteX6" fmla="*/ 190505 w 3867150"/>
            <a:gd name="connsiteY6" fmla="*/ 1533525 h 1543050"/>
            <a:gd name="connsiteX7" fmla="*/ 0 w 3867150"/>
            <a:gd name="connsiteY7" fmla="*/ 1362070 h 1543050"/>
            <a:gd name="connsiteX8" fmla="*/ 9525 w 3867150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57625" h="1543050">
              <a:moveTo>
                <a:pt x="9525" y="200030"/>
              </a:moveTo>
              <a:cubicBezTo>
                <a:pt x="9525" y="57993"/>
                <a:pt x="19893" y="0"/>
                <a:pt x="161930" y="0"/>
              </a:cubicBezTo>
              <a:lnTo>
                <a:pt x="3667120" y="9525"/>
              </a:lnTo>
              <a:cubicBezTo>
                <a:pt x="3809157" y="9525"/>
                <a:pt x="3857625" y="48468"/>
                <a:pt x="3857625" y="190505"/>
              </a:cubicBezTo>
              <a:cubicBezTo>
                <a:pt x="3857625" y="565152"/>
                <a:pt x="3838575" y="911223"/>
                <a:pt x="3857625" y="1371595"/>
              </a:cubicBezTo>
              <a:cubicBezTo>
                <a:pt x="3857625" y="1513632"/>
                <a:pt x="3818682" y="1543050"/>
                <a:pt x="3676645" y="1543050"/>
              </a:cubicBezTo>
              <a:lnTo>
                <a:pt x="190505" y="1533525"/>
              </a:lnTo>
              <a:cubicBezTo>
                <a:pt x="48468" y="1533525"/>
                <a:pt x="0" y="1504107"/>
                <a:pt x="0" y="1362070"/>
              </a:cubicBezTo>
              <a:lnTo>
                <a:pt x="9525" y="20003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M/s. 	 </a:t>
          </a: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JAI INDUSTRIES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Near Ajit Mill Cross Road,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Rakhial-Odhav Main Road,Rkhiyal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 Amedabad - 380023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GSTIN : 24AAAFJ6630P1Z6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 </a:t>
          </a:r>
        </a:p>
        <a:p>
          <a:pPr algn="ctr"/>
          <a:endParaRPr lang="en-US" sz="1200"/>
        </a:p>
      </xdr:txBody>
    </xdr:sp>
    <xdr:clientData/>
  </xdr:twoCellAnchor>
  <xdr:twoCellAnchor>
    <xdr:from>
      <xdr:col>4</xdr:col>
      <xdr:colOff>28577</xdr:colOff>
      <xdr:row>6</xdr:row>
      <xdr:rowOff>123825</xdr:rowOff>
    </xdr:from>
    <xdr:to>
      <xdr:col>7</xdr:col>
      <xdr:colOff>4865</xdr:colOff>
      <xdr:row>14</xdr:row>
      <xdr:rowOff>257175</xdr:rowOff>
    </xdr:to>
    <xdr:sp macro="" textlink="">
      <xdr:nvSpPr>
        <xdr:cNvPr id="6" name="Rectangle: Rounded Corners 2">
          <a:extLst>
            <a:ext uri="{FF2B5EF4-FFF2-40B4-BE49-F238E27FC236}">
              <a16:creationId xmlns:a16="http://schemas.microsoft.com/office/drawing/2014/main" xmlns="" id="{88AEA8EE-39BE-42D2-8B52-532A16D4BB54}"/>
            </a:ext>
          </a:extLst>
        </xdr:cNvPr>
        <xdr:cNvSpPr/>
      </xdr:nvSpPr>
      <xdr:spPr>
        <a:xfrm>
          <a:off x="3441012" y="1291673"/>
          <a:ext cx="2220875" cy="1557959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66190"/>
            <a:gd name="connsiteY0" fmla="*/ 200030 h 1543050"/>
            <a:gd name="connsiteX1" fmla="*/ 161930 w 3866190"/>
            <a:gd name="connsiteY1" fmla="*/ 0 h 1543050"/>
            <a:gd name="connsiteX2" fmla="*/ 3697972 w 3866190"/>
            <a:gd name="connsiteY2" fmla="*/ 9525 h 1543050"/>
            <a:gd name="connsiteX3" fmla="*/ 3857625 w 3866190"/>
            <a:gd name="connsiteY3" fmla="*/ 266705 h 1543050"/>
            <a:gd name="connsiteX4" fmla="*/ 3857625 w 3866190"/>
            <a:gd name="connsiteY4" fmla="*/ 1343020 h 1543050"/>
            <a:gd name="connsiteX5" fmla="*/ 3676645 w 3866190"/>
            <a:gd name="connsiteY5" fmla="*/ 1543050 h 1543050"/>
            <a:gd name="connsiteX6" fmla="*/ 190505 w 3866190"/>
            <a:gd name="connsiteY6" fmla="*/ 1533525 h 1543050"/>
            <a:gd name="connsiteX7" fmla="*/ 0 w 3866190"/>
            <a:gd name="connsiteY7" fmla="*/ 1362070 h 1543050"/>
            <a:gd name="connsiteX8" fmla="*/ 9525 w 3866190"/>
            <a:gd name="connsiteY8" fmla="*/ 20003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66190" h="1543050">
              <a:moveTo>
                <a:pt x="9525" y="200030"/>
              </a:moveTo>
              <a:cubicBezTo>
                <a:pt x="9525" y="57993"/>
                <a:pt x="19893" y="0"/>
                <a:pt x="161930" y="0"/>
              </a:cubicBezTo>
              <a:lnTo>
                <a:pt x="3697972" y="9525"/>
              </a:lnTo>
              <a:cubicBezTo>
                <a:pt x="3840009" y="9525"/>
                <a:pt x="3831016" y="44456"/>
                <a:pt x="3857625" y="266705"/>
              </a:cubicBezTo>
              <a:cubicBezTo>
                <a:pt x="3884234" y="488954"/>
                <a:pt x="3838575" y="882648"/>
                <a:pt x="3857625" y="1343020"/>
              </a:cubicBezTo>
              <a:cubicBezTo>
                <a:pt x="3857625" y="1485057"/>
                <a:pt x="3818682" y="1543050"/>
                <a:pt x="3676645" y="1543050"/>
              </a:cubicBezTo>
              <a:lnTo>
                <a:pt x="190505" y="1533525"/>
              </a:lnTo>
              <a:cubicBezTo>
                <a:pt x="48468" y="1533525"/>
                <a:pt x="0" y="1504107"/>
                <a:pt x="0" y="1362070"/>
              </a:cubicBezTo>
              <a:lnTo>
                <a:pt x="9525" y="20003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Book No.  1</a:t>
          </a:r>
        </a:p>
        <a:p>
          <a:pPr algn="l"/>
          <a:endParaRPr lang="en-US" sz="1200"/>
        </a:p>
        <a:p>
          <a:pPr algn="l"/>
          <a:endParaRPr lang="en-US" sz="1200"/>
        </a:p>
        <a:p>
          <a:pPr algn="l"/>
          <a:r>
            <a:rPr lang="en-US" sz="1200"/>
            <a:t>Bill No. </a:t>
          </a:r>
          <a:r>
            <a:rPr lang="en-US" sz="1200" baseline="0"/>
            <a:t>           Date: </a:t>
          </a:r>
        </a:p>
        <a:p>
          <a:pPr algn="l"/>
          <a:endParaRPr lang="en-US" sz="1200" baseline="0"/>
        </a:p>
        <a:p>
          <a:pPr algn="l"/>
          <a:endParaRPr lang="en-US" sz="1200" baseline="0"/>
        </a:p>
        <a:p>
          <a:pPr algn="l"/>
          <a:r>
            <a:rPr lang="en-US" sz="1200" baseline="0"/>
            <a:t>Ch.No.  	 Date:</a:t>
          </a:r>
          <a:endParaRPr lang="en-US" sz="1200"/>
        </a:p>
      </xdr:txBody>
    </xdr:sp>
    <xdr:clientData/>
  </xdr:twoCellAnchor>
  <xdr:twoCellAnchor>
    <xdr:from>
      <xdr:col>0</xdr:col>
      <xdr:colOff>0</xdr:colOff>
      <xdr:row>38</xdr:row>
      <xdr:rowOff>457199</xdr:rowOff>
    </xdr:from>
    <xdr:to>
      <xdr:col>4</xdr:col>
      <xdr:colOff>0</xdr:colOff>
      <xdr:row>43</xdr:row>
      <xdr:rowOff>0</xdr:rowOff>
    </xdr:to>
    <xdr:sp macro="" textlink="">
      <xdr:nvSpPr>
        <xdr:cNvPr id="30" name="Rectangle: Rounded Corners 2">
          <a:extLst>
            <a:ext uri="{FF2B5EF4-FFF2-40B4-BE49-F238E27FC236}">
              <a16:creationId xmlns:a16="http://schemas.microsoft.com/office/drawing/2014/main" xmlns="" id="{3C542B65-DA7A-4097-B361-9E0239E74AEE}"/>
            </a:ext>
          </a:extLst>
        </xdr:cNvPr>
        <xdr:cNvSpPr/>
      </xdr:nvSpPr>
      <xdr:spPr>
        <a:xfrm>
          <a:off x="0" y="8429624"/>
          <a:ext cx="3638550" cy="771526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90645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67150"/>
            <a:gd name="connsiteY0" fmla="*/ 219080 h 1562100"/>
            <a:gd name="connsiteX1" fmla="*/ 161930 w 3867150"/>
            <a:gd name="connsiteY1" fmla="*/ 19050 h 1562100"/>
            <a:gd name="connsiteX2" fmla="*/ 3695695 w 3867150"/>
            <a:gd name="connsiteY2" fmla="*/ 0 h 1562100"/>
            <a:gd name="connsiteX3" fmla="*/ 3867150 w 3867150"/>
            <a:gd name="connsiteY3" fmla="*/ 219080 h 1562100"/>
            <a:gd name="connsiteX4" fmla="*/ 3857625 w 3867150"/>
            <a:gd name="connsiteY4" fmla="*/ 1390645 h 1562100"/>
            <a:gd name="connsiteX5" fmla="*/ 3676645 w 3867150"/>
            <a:gd name="connsiteY5" fmla="*/ 1562100 h 1562100"/>
            <a:gd name="connsiteX6" fmla="*/ 190505 w 3867150"/>
            <a:gd name="connsiteY6" fmla="*/ 1552575 h 1562100"/>
            <a:gd name="connsiteX7" fmla="*/ 0 w 3867150"/>
            <a:gd name="connsiteY7" fmla="*/ 1381120 h 1562100"/>
            <a:gd name="connsiteX8" fmla="*/ 9525 w 3867150"/>
            <a:gd name="connsiteY8" fmla="*/ 219080 h 1562100"/>
            <a:gd name="connsiteX0" fmla="*/ 9525 w 3867150"/>
            <a:gd name="connsiteY0" fmla="*/ 200030 h 1543050"/>
            <a:gd name="connsiteX1" fmla="*/ 161930 w 3867150"/>
            <a:gd name="connsiteY1" fmla="*/ 0 h 1543050"/>
            <a:gd name="connsiteX2" fmla="*/ 3667120 w 3867150"/>
            <a:gd name="connsiteY2" fmla="*/ 9525 h 1543050"/>
            <a:gd name="connsiteX3" fmla="*/ 3867150 w 3867150"/>
            <a:gd name="connsiteY3" fmla="*/ 200030 h 1543050"/>
            <a:gd name="connsiteX4" fmla="*/ 3857625 w 3867150"/>
            <a:gd name="connsiteY4" fmla="*/ 1371595 h 1543050"/>
            <a:gd name="connsiteX5" fmla="*/ 3676645 w 3867150"/>
            <a:gd name="connsiteY5" fmla="*/ 1543050 h 1543050"/>
            <a:gd name="connsiteX6" fmla="*/ 190505 w 3867150"/>
            <a:gd name="connsiteY6" fmla="*/ 1533525 h 1543050"/>
            <a:gd name="connsiteX7" fmla="*/ 0 w 3867150"/>
            <a:gd name="connsiteY7" fmla="*/ 1362070 h 1543050"/>
            <a:gd name="connsiteX8" fmla="*/ 9525 w 3867150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57625" h="1543050">
              <a:moveTo>
                <a:pt x="9525" y="200030"/>
              </a:moveTo>
              <a:cubicBezTo>
                <a:pt x="9525" y="57993"/>
                <a:pt x="19893" y="0"/>
                <a:pt x="161930" y="0"/>
              </a:cubicBezTo>
              <a:lnTo>
                <a:pt x="3667120" y="9525"/>
              </a:lnTo>
              <a:cubicBezTo>
                <a:pt x="3809157" y="9525"/>
                <a:pt x="3857625" y="48468"/>
                <a:pt x="3857625" y="190505"/>
              </a:cubicBezTo>
              <a:cubicBezTo>
                <a:pt x="3857625" y="565152"/>
                <a:pt x="3838575" y="911223"/>
                <a:pt x="3857625" y="1371595"/>
              </a:cubicBezTo>
              <a:cubicBezTo>
                <a:pt x="3857625" y="1513632"/>
                <a:pt x="3818682" y="1543050"/>
                <a:pt x="3676645" y="1543050"/>
              </a:cubicBezTo>
              <a:lnTo>
                <a:pt x="190505" y="1533525"/>
              </a:lnTo>
              <a:cubicBezTo>
                <a:pt x="48468" y="1533525"/>
                <a:pt x="0" y="1504107"/>
                <a:pt x="0" y="1362070"/>
              </a:cubicBezTo>
              <a:lnTo>
                <a:pt x="9525" y="20003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50" b="1"/>
            <a:t>(1) Goods once Sold Will not </a:t>
          </a:r>
          <a:r>
            <a:rPr lang="en-US" sz="1050" b="1" baseline="0"/>
            <a:t>be tacken back.</a:t>
          </a:r>
        </a:p>
        <a:p>
          <a:pPr algn="l"/>
          <a:r>
            <a:rPr lang="en-US" sz="1050" b="1" baseline="0"/>
            <a:t>(2) Damage or loss in transit at costumer's risk.</a:t>
          </a:r>
        </a:p>
        <a:p>
          <a:pPr algn="l"/>
          <a:r>
            <a:rPr lang="en-US" sz="1050" b="1" baseline="0"/>
            <a:t>(3) Payment within .............. days.</a:t>
          </a:r>
        </a:p>
        <a:p>
          <a:pPr algn="l"/>
          <a:r>
            <a:rPr lang="en-US" sz="1050" b="1" baseline="0"/>
            <a:t>(4) Subject to Ahmedabad jurisdiction.</a:t>
          </a:r>
          <a:endParaRPr lang="en-US" sz="1050" b="1"/>
        </a:p>
      </xdr:txBody>
    </xdr:sp>
    <xdr:clientData/>
  </xdr:twoCellAnchor>
  <xdr:twoCellAnchor>
    <xdr:from>
      <xdr:col>4</xdr:col>
      <xdr:colOff>28577</xdr:colOff>
      <xdr:row>38</xdr:row>
      <xdr:rowOff>457199</xdr:rowOff>
    </xdr:from>
    <xdr:to>
      <xdr:col>7</xdr:col>
      <xdr:colOff>1</xdr:colOff>
      <xdr:row>43</xdr:row>
      <xdr:rowOff>0</xdr:rowOff>
    </xdr:to>
    <xdr:sp macro="" textlink="">
      <xdr:nvSpPr>
        <xdr:cNvPr id="31" name="Rectangle: Rounded Corners 2">
          <a:extLst>
            <a:ext uri="{FF2B5EF4-FFF2-40B4-BE49-F238E27FC236}">
              <a16:creationId xmlns:a16="http://schemas.microsoft.com/office/drawing/2014/main" xmlns="" id="{E259B5B4-01D3-410B-BE8B-261867AFE515}"/>
            </a:ext>
          </a:extLst>
        </xdr:cNvPr>
        <xdr:cNvSpPr/>
      </xdr:nvSpPr>
      <xdr:spPr>
        <a:xfrm>
          <a:off x="3667127" y="8429624"/>
          <a:ext cx="2028824" cy="771526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57625" h="1562100">
              <a:moveTo>
                <a:pt x="9525" y="219080"/>
              </a:moveTo>
              <a:cubicBezTo>
                <a:pt x="9525" y="77043"/>
                <a:pt x="19893" y="19050"/>
                <a:pt x="161930" y="19050"/>
              </a:cubicBezTo>
              <a:lnTo>
                <a:pt x="3714745" y="0"/>
              </a:lnTo>
              <a:cubicBezTo>
                <a:pt x="3856782" y="0"/>
                <a:pt x="3857625" y="143718"/>
                <a:pt x="3857625" y="285755"/>
              </a:cubicBezTo>
              <a:cubicBezTo>
                <a:pt x="3857625" y="660402"/>
                <a:pt x="3838575" y="901698"/>
                <a:pt x="3857625" y="1362070"/>
              </a:cubicBezTo>
              <a:cubicBezTo>
                <a:pt x="3857625" y="1504107"/>
                <a:pt x="3818682" y="1562100"/>
                <a:pt x="3676645" y="1562100"/>
              </a:cubicBezTo>
              <a:lnTo>
                <a:pt x="190505" y="1552575"/>
              </a:lnTo>
              <a:cubicBezTo>
                <a:pt x="48468" y="1552575"/>
                <a:pt x="0" y="1523157"/>
                <a:pt x="0" y="1381120"/>
              </a:cubicBezTo>
              <a:lnTo>
                <a:pt x="9525" y="21908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For, Digvijay</a:t>
          </a:r>
          <a:r>
            <a:rPr lang="en-US" sz="1000" b="1" baseline="0"/>
            <a:t> Engineering Works</a:t>
          </a:r>
        </a:p>
        <a:p>
          <a:pPr algn="l"/>
          <a:endParaRPr lang="en-US" sz="1000" b="1" baseline="0"/>
        </a:p>
        <a:p>
          <a:pPr algn="ctr"/>
          <a:endParaRPr lang="en-US" sz="1000" b="1" baseline="0"/>
        </a:p>
        <a:p>
          <a:pPr algn="ctr"/>
          <a:r>
            <a:rPr lang="en-US" sz="1000" b="1" baseline="0"/>
            <a:t>Authorised Signature</a:t>
          </a:r>
        </a:p>
        <a:p>
          <a:pPr algn="ctr"/>
          <a:endParaRPr lang="en-US" sz="900"/>
        </a:p>
      </xdr:txBody>
    </xdr:sp>
    <xdr:clientData/>
  </xdr:twoCellAnchor>
  <xdr:twoCellAnchor>
    <xdr:from>
      <xdr:col>0</xdr:col>
      <xdr:colOff>0</xdr:colOff>
      <xdr:row>38</xdr:row>
      <xdr:rowOff>0</xdr:rowOff>
    </xdr:from>
    <xdr:to>
      <xdr:col>7</xdr:col>
      <xdr:colOff>0</xdr:colOff>
      <xdr:row>39</xdr:row>
      <xdr:rowOff>0</xdr:rowOff>
    </xdr:to>
    <xdr:sp macro="" textlink="">
      <xdr:nvSpPr>
        <xdr:cNvPr id="32" name="Rectangle: Rounded Corners 2">
          <a:extLst>
            <a:ext uri="{FF2B5EF4-FFF2-40B4-BE49-F238E27FC236}">
              <a16:creationId xmlns:a16="http://schemas.microsoft.com/office/drawing/2014/main" xmlns="" id="{85C62667-C6A4-4AEB-A041-0124E1324F3D}"/>
            </a:ext>
          </a:extLst>
        </xdr:cNvPr>
        <xdr:cNvSpPr/>
      </xdr:nvSpPr>
      <xdr:spPr>
        <a:xfrm>
          <a:off x="0" y="7972425"/>
          <a:ext cx="5695950" cy="504825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90645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67150"/>
            <a:gd name="connsiteY0" fmla="*/ 219080 h 1562100"/>
            <a:gd name="connsiteX1" fmla="*/ 161930 w 3867150"/>
            <a:gd name="connsiteY1" fmla="*/ 19050 h 1562100"/>
            <a:gd name="connsiteX2" fmla="*/ 3695695 w 3867150"/>
            <a:gd name="connsiteY2" fmla="*/ 0 h 1562100"/>
            <a:gd name="connsiteX3" fmla="*/ 3867150 w 3867150"/>
            <a:gd name="connsiteY3" fmla="*/ 219080 h 1562100"/>
            <a:gd name="connsiteX4" fmla="*/ 3857625 w 3867150"/>
            <a:gd name="connsiteY4" fmla="*/ 1390645 h 1562100"/>
            <a:gd name="connsiteX5" fmla="*/ 3676645 w 3867150"/>
            <a:gd name="connsiteY5" fmla="*/ 1562100 h 1562100"/>
            <a:gd name="connsiteX6" fmla="*/ 190505 w 3867150"/>
            <a:gd name="connsiteY6" fmla="*/ 1552575 h 1562100"/>
            <a:gd name="connsiteX7" fmla="*/ 0 w 3867150"/>
            <a:gd name="connsiteY7" fmla="*/ 1381120 h 1562100"/>
            <a:gd name="connsiteX8" fmla="*/ 9525 w 3867150"/>
            <a:gd name="connsiteY8" fmla="*/ 219080 h 1562100"/>
            <a:gd name="connsiteX0" fmla="*/ 9525 w 3867150"/>
            <a:gd name="connsiteY0" fmla="*/ 200030 h 1543050"/>
            <a:gd name="connsiteX1" fmla="*/ 161930 w 3867150"/>
            <a:gd name="connsiteY1" fmla="*/ 0 h 1543050"/>
            <a:gd name="connsiteX2" fmla="*/ 3667120 w 3867150"/>
            <a:gd name="connsiteY2" fmla="*/ 9525 h 1543050"/>
            <a:gd name="connsiteX3" fmla="*/ 3867150 w 3867150"/>
            <a:gd name="connsiteY3" fmla="*/ 200030 h 1543050"/>
            <a:gd name="connsiteX4" fmla="*/ 3857625 w 3867150"/>
            <a:gd name="connsiteY4" fmla="*/ 1371595 h 1543050"/>
            <a:gd name="connsiteX5" fmla="*/ 3676645 w 3867150"/>
            <a:gd name="connsiteY5" fmla="*/ 1543050 h 1543050"/>
            <a:gd name="connsiteX6" fmla="*/ 190505 w 3867150"/>
            <a:gd name="connsiteY6" fmla="*/ 1533525 h 1543050"/>
            <a:gd name="connsiteX7" fmla="*/ 0 w 3867150"/>
            <a:gd name="connsiteY7" fmla="*/ 1362070 h 1543050"/>
            <a:gd name="connsiteX8" fmla="*/ 9525 w 3867150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57625" h="1543050">
              <a:moveTo>
                <a:pt x="9525" y="200030"/>
              </a:moveTo>
              <a:cubicBezTo>
                <a:pt x="9525" y="57993"/>
                <a:pt x="19893" y="0"/>
                <a:pt x="161930" y="0"/>
              </a:cubicBezTo>
              <a:lnTo>
                <a:pt x="3667120" y="9525"/>
              </a:lnTo>
              <a:cubicBezTo>
                <a:pt x="3809157" y="9525"/>
                <a:pt x="3857625" y="48468"/>
                <a:pt x="3857625" y="190505"/>
              </a:cubicBezTo>
              <a:cubicBezTo>
                <a:pt x="3857625" y="565152"/>
                <a:pt x="3838575" y="911223"/>
                <a:pt x="3857625" y="1371595"/>
              </a:cubicBezTo>
              <a:cubicBezTo>
                <a:pt x="3857625" y="1513632"/>
                <a:pt x="3818682" y="1543050"/>
                <a:pt x="3676645" y="1543050"/>
              </a:cubicBezTo>
              <a:lnTo>
                <a:pt x="190505" y="1533525"/>
              </a:lnTo>
              <a:cubicBezTo>
                <a:pt x="48468" y="1533525"/>
                <a:pt x="0" y="1504107"/>
                <a:pt x="0" y="1362070"/>
              </a:cubicBezTo>
              <a:lnTo>
                <a:pt x="9525" y="20003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="0"/>
            <a:t>Rupees:-</a:t>
          </a:r>
        </a:p>
      </xdr:txBody>
    </xdr:sp>
    <xdr:clientData/>
  </xdr:twoCellAnchor>
  <xdr:twoCellAnchor>
    <xdr:from>
      <xdr:col>4</xdr:col>
      <xdr:colOff>38100</xdr:colOff>
      <xdr:row>9</xdr:row>
      <xdr:rowOff>38100</xdr:rowOff>
    </xdr:from>
    <xdr:to>
      <xdr:col>6</xdr:col>
      <xdr:colOff>1066800</xdr:colOff>
      <xdr:row>9</xdr:row>
      <xdr:rowOff>38100</xdr:rowOff>
    </xdr:to>
    <xdr:cxnSp macro="">
      <xdr:nvCxnSpPr>
        <xdr:cNvPr id="7" name="Straight Connector 6"/>
        <xdr:cNvCxnSpPr/>
      </xdr:nvCxnSpPr>
      <xdr:spPr>
        <a:xfrm>
          <a:off x="3486150" y="2076450"/>
          <a:ext cx="21717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</xdr:colOff>
      <xdr:row>12</xdr:row>
      <xdr:rowOff>66675</xdr:rowOff>
    </xdr:from>
    <xdr:to>
      <xdr:col>7</xdr:col>
      <xdr:colOff>0</xdr:colOff>
      <xdr:row>12</xdr:row>
      <xdr:rowOff>66675</xdr:rowOff>
    </xdr:to>
    <xdr:cxnSp macro="">
      <xdr:nvCxnSpPr>
        <xdr:cNvPr id="12" name="Straight Connector 11"/>
        <xdr:cNvCxnSpPr/>
      </xdr:nvCxnSpPr>
      <xdr:spPr>
        <a:xfrm>
          <a:off x="3495675" y="2619375"/>
          <a:ext cx="21717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389283</xdr:colOff>
      <xdr:row>38</xdr:row>
      <xdr:rowOff>66260</xdr:rowOff>
    </xdr:from>
    <xdr:to>
      <xdr:col>6</xdr:col>
      <xdr:colOff>952500</xdr:colOff>
      <xdr:row>38</xdr:row>
      <xdr:rowOff>397564</xdr:rowOff>
    </xdr:to>
    <xdr:sp macro="" textlink="A39">
      <xdr:nvSpPr>
        <xdr:cNvPr id="2" name="TextBox 1"/>
        <xdr:cNvSpPr txBox="1"/>
      </xdr:nvSpPr>
      <xdr:spPr>
        <a:xfrm>
          <a:off x="762000" y="8266043"/>
          <a:ext cx="4770783" cy="33130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A3FCE86-8993-4670-802D-20ECA31EFBA2}" type="TxLink">
            <a:rPr lang="en-US" sz="1000" b="1" i="0" u="none" strike="noStrike">
              <a:solidFill>
                <a:srgbClr val="262626"/>
              </a:solidFill>
              <a:latin typeface="Calibri" panose="020F0502020204030204" pitchFamily="34" charset="0"/>
              <a:cs typeface="Calibri" panose="020F0502020204030204" pitchFamily="34" charset="0"/>
            </a:rPr>
            <a:pPr/>
            <a:t> Only</a:t>
          </a:fld>
          <a:endParaRPr lang="en-US" sz="10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5</xdr:col>
      <xdr:colOff>66262</xdr:colOff>
      <xdr:row>10</xdr:row>
      <xdr:rowOff>0</xdr:rowOff>
    </xdr:from>
    <xdr:to>
      <xdr:col>5</xdr:col>
      <xdr:colOff>496958</xdr:colOff>
      <xdr:row>11</xdr:row>
      <xdr:rowOff>115956</xdr:rowOff>
    </xdr:to>
    <xdr:sp macro="" textlink="F8">
      <xdr:nvSpPr>
        <xdr:cNvPr id="8" name="TextBox 7"/>
        <xdr:cNvSpPr txBox="1"/>
      </xdr:nvSpPr>
      <xdr:spPr>
        <a:xfrm>
          <a:off x="4000501" y="1863587"/>
          <a:ext cx="430696" cy="28989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5781AFD-A1B7-4401-A1F8-C11DB785BDC4}" type="TxLink">
            <a:rPr lang="en-US" sz="1100" b="0" i="0" u="none" strike="noStrike">
              <a:solidFill>
                <a:srgbClr val="262626"/>
              </a:solidFill>
              <a:latin typeface="Century Gothic"/>
            </a:rPr>
            <a:pPr/>
            <a:t>100</a:t>
          </a:fld>
          <a:endParaRPr lang="en-IN" sz="1100" b="0"/>
        </a:p>
      </xdr:txBody>
    </xdr:sp>
    <xdr:clientData/>
  </xdr:twoCellAnchor>
  <xdr:twoCellAnchor>
    <xdr:from>
      <xdr:col>5</xdr:col>
      <xdr:colOff>119271</xdr:colOff>
      <xdr:row>13</xdr:row>
      <xdr:rowOff>11595</xdr:rowOff>
    </xdr:from>
    <xdr:to>
      <xdr:col>5</xdr:col>
      <xdr:colOff>546652</xdr:colOff>
      <xdr:row>14</xdr:row>
      <xdr:rowOff>110986</xdr:rowOff>
    </xdr:to>
    <xdr:sp macro="" textlink="G8">
      <xdr:nvSpPr>
        <xdr:cNvPr id="14" name="TextBox 13"/>
        <xdr:cNvSpPr txBox="1"/>
      </xdr:nvSpPr>
      <xdr:spPr>
        <a:xfrm>
          <a:off x="4053510" y="2413552"/>
          <a:ext cx="427381" cy="28989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39626ED-6213-4459-96E5-7AFEFB641918}" type="TxLink">
            <a:rPr lang="en-US" sz="1100" b="0" i="0" u="none" strike="noStrike">
              <a:solidFill>
                <a:srgbClr val="262626"/>
              </a:solidFill>
              <a:latin typeface="Century Gothic"/>
            </a:rPr>
            <a:pPr/>
            <a:t>101</a:t>
          </a:fld>
          <a:endParaRPr lang="en-IN" sz="1100" b="1"/>
        </a:p>
      </xdr:txBody>
    </xdr:sp>
    <xdr:clientData/>
  </xdr:twoCellAnchor>
  <xdr:twoCellAnchor>
    <xdr:from>
      <xdr:col>6</xdr:col>
      <xdr:colOff>331304</xdr:colOff>
      <xdr:row>10</xdr:row>
      <xdr:rowOff>3306</xdr:rowOff>
    </xdr:from>
    <xdr:to>
      <xdr:col>6</xdr:col>
      <xdr:colOff>1051891</xdr:colOff>
      <xdr:row>11</xdr:row>
      <xdr:rowOff>119262</xdr:rowOff>
    </xdr:to>
    <xdr:sp macro="" textlink="F9">
      <xdr:nvSpPr>
        <xdr:cNvPr id="16" name="TextBox 15"/>
        <xdr:cNvSpPr txBox="1"/>
      </xdr:nvSpPr>
      <xdr:spPr>
        <a:xfrm>
          <a:off x="4911587" y="1866893"/>
          <a:ext cx="720587" cy="28989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FD613B1-DB67-4D0A-B60D-E1B01916144E}" type="TxLink">
            <a:rPr lang="en-US" sz="1000" b="0" i="0" u="none" strike="noStrike">
              <a:solidFill>
                <a:srgbClr val="262626"/>
              </a:solidFill>
              <a:latin typeface="Century Gothic"/>
            </a:rPr>
            <a:pPr/>
            <a:t>20/20/20</a:t>
          </a:fld>
          <a:endParaRPr lang="en-IN" sz="1000" b="0"/>
        </a:p>
      </xdr:txBody>
    </xdr:sp>
    <xdr:clientData/>
  </xdr:twoCellAnchor>
  <xdr:twoCellAnchor>
    <xdr:from>
      <xdr:col>6</xdr:col>
      <xdr:colOff>318046</xdr:colOff>
      <xdr:row>13</xdr:row>
      <xdr:rowOff>23185</xdr:rowOff>
    </xdr:from>
    <xdr:to>
      <xdr:col>6</xdr:col>
      <xdr:colOff>1071763</xdr:colOff>
      <xdr:row>14</xdr:row>
      <xdr:rowOff>122576</xdr:rowOff>
    </xdr:to>
    <xdr:sp macro="" textlink="G9">
      <xdr:nvSpPr>
        <xdr:cNvPr id="17" name="TextBox 16"/>
        <xdr:cNvSpPr txBox="1"/>
      </xdr:nvSpPr>
      <xdr:spPr>
        <a:xfrm>
          <a:off x="4898329" y="2425142"/>
          <a:ext cx="753717" cy="28989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A8468B4-5477-4194-9D13-113CF7CE3DDB}" type="TxLink">
            <a:rPr lang="en-US" sz="1000" b="0" i="0" u="none" strike="noStrike">
              <a:solidFill>
                <a:srgbClr val="262626"/>
              </a:solidFill>
              <a:latin typeface="Century Gothic"/>
            </a:rPr>
            <a:pPr/>
            <a:t>20/20/20</a:t>
          </a:fld>
          <a:endParaRPr lang="en-IN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Verve">
      <a:majorFont>
        <a:latin typeface="Century Gothic"/>
        <a:ea typeface=""/>
        <a:cs typeface=""/>
        <a:font script="Jpan" typeface="HGｺﾞｼｯｸM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89"/>
  <sheetViews>
    <sheetView showGridLines="0" tabSelected="1" topLeftCell="A21" zoomScale="115" zoomScaleNormal="115" workbookViewId="0">
      <selection activeCell="F31" sqref="F31"/>
    </sheetView>
  </sheetViews>
  <sheetFormatPr defaultRowHeight="13.5" x14ac:dyDescent="0.25"/>
  <cols>
    <col min="1" max="1" width="5.5703125" style="8" customWidth="1"/>
    <col min="2" max="2" width="9" style="8" customWidth="1"/>
    <col min="3" max="3" width="14.7109375" style="8" customWidth="1"/>
    <col min="4" max="4" width="22" style="8" customWidth="1"/>
    <col min="5" max="5" width="7.85546875" style="8" customWidth="1"/>
    <col min="6" max="6" width="9.7109375" style="8" customWidth="1"/>
    <col min="7" max="7" width="16.140625" style="8" customWidth="1"/>
    <col min="8" max="16384" width="9.140625" style="8"/>
  </cols>
  <sheetData>
    <row r="1" spans="1:7" s="3" customFormat="1" ht="42" customHeight="1" x14ac:dyDescent="0.65">
      <c r="A1" s="1"/>
      <c r="B1" s="2"/>
      <c r="C1" s="2"/>
      <c r="D1" s="2"/>
      <c r="E1" s="2"/>
      <c r="F1" s="2"/>
      <c r="G1" s="2"/>
    </row>
    <row r="2" spans="1:7" s="3" customFormat="1" ht="22.5" customHeight="1" x14ac:dyDescent="0.3">
      <c r="A2" s="4"/>
      <c r="B2" s="4"/>
      <c r="C2" s="4"/>
      <c r="D2" s="5"/>
      <c r="E2" s="6"/>
      <c r="F2" s="7"/>
      <c r="G2" s="8"/>
    </row>
    <row r="3" spans="1:7" s="3" customFormat="1" ht="15" customHeight="1" x14ac:dyDescent="0.3">
      <c r="A3" s="5"/>
      <c r="B3" s="5"/>
      <c r="C3" s="5"/>
      <c r="D3" s="5"/>
      <c r="F3" s="9"/>
      <c r="G3" s="38" t="s">
        <v>12</v>
      </c>
    </row>
    <row r="4" spans="1:7" s="3" customFormat="1" ht="6" customHeight="1" x14ac:dyDescent="0.3">
      <c r="A4" s="10"/>
      <c r="B4" s="10"/>
      <c r="C4" s="10"/>
      <c r="D4" s="11"/>
      <c r="F4" s="9"/>
      <c r="G4" s="6"/>
    </row>
    <row r="5" spans="1:7" s="13" customFormat="1" ht="6.75" customHeight="1" x14ac:dyDescent="0.3">
      <c r="A5" s="10"/>
      <c r="B5" s="10"/>
      <c r="C5" s="10"/>
      <c r="D5" s="12"/>
      <c r="F5" s="9"/>
      <c r="G5" s="6"/>
    </row>
    <row r="6" spans="1:7" s="13" customFormat="1" ht="0.75" hidden="1" customHeight="1" x14ac:dyDescent="0.3">
      <c r="A6" s="12"/>
      <c r="B6" s="12"/>
      <c r="C6" s="12"/>
      <c r="D6" s="12"/>
      <c r="E6" s="12"/>
      <c r="F6" s="14"/>
      <c r="G6" s="12"/>
    </row>
    <row r="7" spans="1:7" s="13" customFormat="1" ht="14.1" customHeight="1" x14ac:dyDescent="0.3">
      <c r="A7" s="9"/>
      <c r="B7" s="14"/>
      <c r="C7" s="14"/>
      <c r="D7" s="15"/>
      <c r="E7" s="14"/>
      <c r="F7" s="14"/>
      <c r="G7" s="12"/>
    </row>
    <row r="8" spans="1:7" s="13" customFormat="1" ht="14.1" customHeight="1" x14ac:dyDescent="0.3">
      <c r="A8" s="16"/>
      <c r="B8" s="14"/>
      <c r="C8" s="14"/>
      <c r="D8" s="14"/>
      <c r="E8" s="14"/>
      <c r="F8" s="14">
        <v>100</v>
      </c>
      <c r="G8" s="12">
        <v>101</v>
      </c>
    </row>
    <row r="9" spans="1:7" s="13" customFormat="1" ht="14.1" customHeight="1" x14ac:dyDescent="0.3">
      <c r="A9" s="14"/>
      <c r="B9" s="6"/>
      <c r="C9" s="6"/>
      <c r="D9" s="14"/>
      <c r="E9" s="14"/>
      <c r="F9" s="14" t="s">
        <v>14</v>
      </c>
      <c r="G9" s="12" t="s">
        <v>14</v>
      </c>
    </row>
    <row r="10" spans="1:7" s="13" customFormat="1" ht="14.1" customHeight="1" x14ac:dyDescent="0.3">
      <c r="A10" s="14"/>
      <c r="B10" s="6"/>
      <c r="C10" s="6"/>
      <c r="D10" s="6"/>
      <c r="E10" s="14"/>
      <c r="F10" s="14"/>
      <c r="G10" s="12"/>
    </row>
    <row r="11" spans="1:7" s="13" customFormat="1" ht="14.1" customHeight="1" x14ac:dyDescent="0.3">
      <c r="A11" s="14"/>
      <c r="B11" s="6"/>
      <c r="C11" s="6"/>
      <c r="D11" s="14"/>
      <c r="E11" s="14"/>
      <c r="F11" s="14"/>
      <c r="G11" s="12"/>
    </row>
    <row r="12" spans="1:7" s="13" customFormat="1" ht="14.1" customHeight="1" x14ac:dyDescent="0.3">
      <c r="A12" s="17"/>
      <c r="B12" s="17"/>
      <c r="C12" s="17"/>
      <c r="D12" s="17"/>
      <c r="E12" s="17"/>
      <c r="F12" s="17"/>
      <c r="G12" s="12"/>
    </row>
    <row r="13" spans="1:7" s="3" customFormat="1" ht="15" customHeight="1" x14ac:dyDescent="0.3">
      <c r="A13" s="9"/>
      <c r="B13" s="9"/>
      <c r="C13" s="9"/>
      <c r="D13" s="18"/>
      <c r="E13" s="9"/>
      <c r="F13" s="9"/>
      <c r="G13" s="9"/>
    </row>
    <row r="14" spans="1:7" s="22" customFormat="1" ht="15" customHeight="1" x14ac:dyDescent="0.25">
      <c r="A14" s="19"/>
      <c r="B14" s="19"/>
      <c r="C14" s="19"/>
      <c r="D14" s="20"/>
      <c r="E14" s="21"/>
      <c r="F14" s="19"/>
      <c r="G14" s="21"/>
    </row>
    <row r="15" spans="1:7" s="3" customFormat="1" ht="21.75" customHeight="1" x14ac:dyDescent="0.3">
      <c r="A15" s="23"/>
      <c r="B15" s="23"/>
      <c r="C15" s="17"/>
      <c r="D15" s="17"/>
      <c r="E15" s="17"/>
      <c r="F15" s="17"/>
      <c r="G15" s="17"/>
    </row>
    <row r="16" spans="1:7" s="3" customFormat="1" ht="18" customHeight="1" x14ac:dyDescent="0.25">
      <c r="A16" s="32" t="s">
        <v>1</v>
      </c>
      <c r="B16" s="32" t="s">
        <v>2</v>
      </c>
      <c r="C16" s="50" t="s">
        <v>3</v>
      </c>
      <c r="D16" s="50"/>
      <c r="E16" s="32" t="s">
        <v>4</v>
      </c>
      <c r="F16" s="32" t="s">
        <v>5</v>
      </c>
      <c r="G16" s="32" t="s">
        <v>6</v>
      </c>
    </row>
    <row r="17" spans="1:7" s="3" customFormat="1" ht="18" customHeight="1" x14ac:dyDescent="0.25">
      <c r="A17" s="34">
        <v>1</v>
      </c>
      <c r="B17" s="34"/>
      <c r="C17" s="49">
        <f>IFERROR(VLOOKUP(B17,$E$202:$H$289,2,FALSE),0)</f>
        <v>0</v>
      </c>
      <c r="D17" s="49"/>
      <c r="E17" s="35"/>
      <c r="F17" s="36">
        <f>IFERROR(VLOOKUP(B17,$E$202:$H$289,4,FALSE),0)</f>
        <v>0</v>
      </c>
      <c r="G17" s="37">
        <f>IFERROR(E17*F17,0)</f>
        <v>0</v>
      </c>
    </row>
    <row r="18" spans="1:7" s="3" customFormat="1" ht="18" customHeight="1" x14ac:dyDescent="0.25">
      <c r="A18" s="34"/>
      <c r="B18" s="34"/>
      <c r="C18" s="49">
        <f t="shared" ref="C18:C33" si="0">IFERROR(VLOOKUP(B18,$E$202:$H$289,2,FALSE),0)</f>
        <v>0</v>
      </c>
      <c r="D18" s="49"/>
      <c r="E18" s="35"/>
      <c r="F18" s="36">
        <f t="shared" ref="F18:F33" si="1">IFERROR(VLOOKUP(B18,$E$202:$H$289,4,FALSE),0)</f>
        <v>0</v>
      </c>
      <c r="G18" s="37">
        <f t="shared" ref="G18:G33" si="2">IFERROR(E18*F18,0)</f>
        <v>0</v>
      </c>
    </row>
    <row r="19" spans="1:7" s="3" customFormat="1" ht="18" customHeight="1" x14ac:dyDescent="0.25">
      <c r="A19" s="34"/>
      <c r="B19" s="34"/>
      <c r="C19" s="49">
        <f t="shared" si="0"/>
        <v>0</v>
      </c>
      <c r="D19" s="49"/>
      <c r="E19" s="35"/>
      <c r="F19" s="36">
        <f t="shared" si="1"/>
        <v>0</v>
      </c>
      <c r="G19" s="37">
        <f t="shared" si="2"/>
        <v>0</v>
      </c>
    </row>
    <row r="20" spans="1:7" s="3" customFormat="1" ht="18" customHeight="1" x14ac:dyDescent="0.25">
      <c r="A20" s="34"/>
      <c r="B20" s="34"/>
      <c r="C20" s="49">
        <f t="shared" si="0"/>
        <v>0</v>
      </c>
      <c r="D20" s="49"/>
      <c r="E20" s="35"/>
      <c r="F20" s="36">
        <f t="shared" si="1"/>
        <v>0</v>
      </c>
      <c r="G20" s="37">
        <f t="shared" si="2"/>
        <v>0</v>
      </c>
    </row>
    <row r="21" spans="1:7" s="3" customFormat="1" ht="18" customHeight="1" x14ac:dyDescent="0.25">
      <c r="A21" s="34"/>
      <c r="B21" s="34"/>
      <c r="C21" s="49">
        <f t="shared" si="0"/>
        <v>0</v>
      </c>
      <c r="D21" s="49"/>
      <c r="E21" s="35"/>
      <c r="F21" s="36">
        <f t="shared" si="1"/>
        <v>0</v>
      </c>
      <c r="G21" s="37">
        <f t="shared" si="2"/>
        <v>0</v>
      </c>
    </row>
    <row r="22" spans="1:7" s="3" customFormat="1" ht="18" customHeight="1" x14ac:dyDescent="0.25">
      <c r="A22" s="34"/>
      <c r="B22" s="34"/>
      <c r="C22" s="49">
        <f t="shared" si="0"/>
        <v>0</v>
      </c>
      <c r="D22" s="49"/>
      <c r="E22" s="35"/>
      <c r="F22" s="36">
        <f t="shared" si="1"/>
        <v>0</v>
      </c>
      <c r="G22" s="37">
        <f t="shared" si="2"/>
        <v>0</v>
      </c>
    </row>
    <row r="23" spans="1:7" s="3" customFormat="1" ht="18" customHeight="1" x14ac:dyDescent="0.25">
      <c r="A23" s="34"/>
      <c r="B23" s="34"/>
      <c r="C23" s="49">
        <f t="shared" si="0"/>
        <v>0</v>
      </c>
      <c r="D23" s="49"/>
      <c r="E23" s="35"/>
      <c r="F23" s="36">
        <f t="shared" si="1"/>
        <v>0</v>
      </c>
      <c r="G23" s="37">
        <f t="shared" si="2"/>
        <v>0</v>
      </c>
    </row>
    <row r="24" spans="1:7" s="3" customFormat="1" ht="18" customHeight="1" x14ac:dyDescent="0.25">
      <c r="A24" s="34"/>
      <c r="B24" s="34"/>
      <c r="C24" s="49">
        <f t="shared" si="0"/>
        <v>0</v>
      </c>
      <c r="D24" s="49"/>
      <c r="E24" s="35"/>
      <c r="F24" s="36">
        <f t="shared" si="1"/>
        <v>0</v>
      </c>
      <c r="G24" s="37">
        <f t="shared" si="2"/>
        <v>0</v>
      </c>
    </row>
    <row r="25" spans="1:7" s="3" customFormat="1" ht="18" customHeight="1" x14ac:dyDescent="0.25">
      <c r="A25" s="34"/>
      <c r="B25" s="34"/>
      <c r="C25" s="49">
        <f t="shared" si="0"/>
        <v>0</v>
      </c>
      <c r="D25" s="49"/>
      <c r="E25" s="35"/>
      <c r="F25" s="36">
        <f t="shared" si="1"/>
        <v>0</v>
      </c>
      <c r="G25" s="37">
        <f t="shared" si="2"/>
        <v>0</v>
      </c>
    </row>
    <row r="26" spans="1:7" s="3" customFormat="1" ht="18" customHeight="1" x14ac:dyDescent="0.25">
      <c r="A26" s="34"/>
      <c r="B26" s="34"/>
      <c r="C26" s="49">
        <f t="shared" si="0"/>
        <v>0</v>
      </c>
      <c r="D26" s="49"/>
      <c r="E26" s="35"/>
      <c r="F26" s="36">
        <f t="shared" si="1"/>
        <v>0</v>
      </c>
      <c r="G26" s="37">
        <f t="shared" si="2"/>
        <v>0</v>
      </c>
    </row>
    <row r="27" spans="1:7" s="3" customFormat="1" ht="18" customHeight="1" x14ac:dyDescent="0.25">
      <c r="A27" s="34"/>
      <c r="B27" s="34"/>
      <c r="C27" s="49">
        <f t="shared" si="0"/>
        <v>0</v>
      </c>
      <c r="D27" s="49"/>
      <c r="E27" s="35"/>
      <c r="F27" s="36">
        <f t="shared" si="1"/>
        <v>0</v>
      </c>
      <c r="G27" s="37">
        <f t="shared" si="2"/>
        <v>0</v>
      </c>
    </row>
    <row r="28" spans="1:7" s="3" customFormat="1" ht="18" customHeight="1" x14ac:dyDescent="0.25">
      <c r="A28" s="34"/>
      <c r="B28" s="34"/>
      <c r="C28" s="49">
        <f t="shared" si="0"/>
        <v>0</v>
      </c>
      <c r="D28" s="49"/>
      <c r="E28" s="35"/>
      <c r="F28" s="36">
        <f t="shared" si="1"/>
        <v>0</v>
      </c>
      <c r="G28" s="37">
        <f t="shared" si="2"/>
        <v>0</v>
      </c>
    </row>
    <row r="29" spans="1:7" s="3" customFormat="1" ht="18" customHeight="1" x14ac:dyDescent="0.25">
      <c r="A29" s="34"/>
      <c r="B29" s="34"/>
      <c r="C29" s="49">
        <f t="shared" si="0"/>
        <v>0</v>
      </c>
      <c r="D29" s="49"/>
      <c r="E29" s="35"/>
      <c r="F29" s="36">
        <f t="shared" si="1"/>
        <v>0</v>
      </c>
      <c r="G29" s="37">
        <f t="shared" si="2"/>
        <v>0</v>
      </c>
    </row>
    <row r="30" spans="1:7" s="3" customFormat="1" ht="18" customHeight="1" x14ac:dyDescent="0.25">
      <c r="A30" s="34"/>
      <c r="B30" s="34"/>
      <c r="C30" s="49">
        <f t="shared" si="0"/>
        <v>0</v>
      </c>
      <c r="D30" s="49"/>
      <c r="E30" s="35"/>
      <c r="F30" s="36">
        <f t="shared" si="1"/>
        <v>0</v>
      </c>
      <c r="G30" s="37">
        <f t="shared" si="2"/>
        <v>0</v>
      </c>
    </row>
    <row r="31" spans="1:7" s="3" customFormat="1" ht="18" customHeight="1" x14ac:dyDescent="0.25">
      <c r="A31" s="34"/>
      <c r="B31" s="34"/>
      <c r="C31" s="49">
        <f t="shared" si="0"/>
        <v>0</v>
      </c>
      <c r="D31" s="49"/>
      <c r="E31" s="35"/>
      <c r="F31" s="36">
        <f t="shared" si="1"/>
        <v>0</v>
      </c>
      <c r="G31" s="37">
        <f t="shared" si="2"/>
        <v>0</v>
      </c>
    </row>
    <row r="32" spans="1:7" s="3" customFormat="1" ht="18" customHeight="1" x14ac:dyDescent="0.25">
      <c r="A32" s="34"/>
      <c r="B32" s="34"/>
      <c r="C32" s="49">
        <f t="shared" si="0"/>
        <v>0</v>
      </c>
      <c r="D32" s="49"/>
      <c r="E32" s="35"/>
      <c r="F32" s="36">
        <f t="shared" si="1"/>
        <v>0</v>
      </c>
      <c r="G32" s="37">
        <f t="shared" si="2"/>
        <v>0</v>
      </c>
    </row>
    <row r="33" spans="1:18" s="3" customFormat="1" ht="18" customHeight="1" x14ac:dyDescent="0.25">
      <c r="A33" s="34"/>
      <c r="B33" s="34"/>
      <c r="C33" s="49">
        <f t="shared" si="0"/>
        <v>0</v>
      </c>
      <c r="D33" s="49"/>
      <c r="E33" s="35"/>
      <c r="F33" s="36">
        <f t="shared" si="1"/>
        <v>0</v>
      </c>
      <c r="G33" s="37">
        <f t="shared" si="2"/>
        <v>0</v>
      </c>
      <c r="L33" s="26"/>
      <c r="M33" s="26"/>
      <c r="N33" s="26"/>
      <c r="O33" s="26"/>
      <c r="P33" s="26"/>
      <c r="Q33" s="26"/>
      <c r="R33" s="26"/>
    </row>
    <row r="34" spans="1:18" s="3" customFormat="1" ht="18" customHeight="1" x14ac:dyDescent="0.25">
      <c r="A34" s="34"/>
      <c r="B34" s="25"/>
      <c r="C34" s="41"/>
      <c r="D34" s="41"/>
      <c r="E34" s="47" t="s">
        <v>0</v>
      </c>
      <c r="F34" s="48"/>
      <c r="G34" s="37">
        <f>SUM(G17:G33)</f>
        <v>0</v>
      </c>
      <c r="L34" s="26"/>
      <c r="M34" s="26"/>
      <c r="N34" s="26"/>
      <c r="O34" s="26"/>
      <c r="P34" s="26"/>
      <c r="Q34" s="26"/>
      <c r="R34" s="26"/>
    </row>
    <row r="35" spans="1:18" s="3" customFormat="1" ht="18" customHeight="1" x14ac:dyDescent="0.25">
      <c r="A35" s="24"/>
      <c r="B35" s="25"/>
      <c r="C35" s="43" t="s">
        <v>9</v>
      </c>
      <c r="D35" s="44"/>
      <c r="E35" s="47" t="s">
        <v>10</v>
      </c>
      <c r="F35" s="48"/>
      <c r="G35" s="37">
        <f>G34*9%</f>
        <v>0</v>
      </c>
    </row>
    <row r="36" spans="1:18" s="3" customFormat="1" ht="18" customHeight="1" x14ac:dyDescent="0.25">
      <c r="A36" s="24"/>
      <c r="B36" s="25"/>
      <c r="C36" s="45"/>
      <c r="D36" s="46"/>
      <c r="E36" s="47" t="s">
        <v>8</v>
      </c>
      <c r="F36" s="48"/>
      <c r="G36" s="37">
        <f>G34*9%</f>
        <v>0</v>
      </c>
    </row>
    <row r="37" spans="1:18" s="3" customFormat="1" ht="18" customHeight="1" x14ac:dyDescent="0.25">
      <c r="A37" s="24"/>
      <c r="B37" s="25"/>
      <c r="C37" s="39"/>
      <c r="D37" s="40"/>
      <c r="E37" s="47" t="s">
        <v>13</v>
      </c>
      <c r="F37" s="48"/>
      <c r="G37" s="37">
        <f>G38-A40</f>
        <v>0</v>
      </c>
    </row>
    <row r="38" spans="1:18" s="3" customFormat="1" ht="18" customHeight="1" x14ac:dyDescent="0.25">
      <c r="A38" s="24"/>
      <c r="B38" s="25"/>
      <c r="C38" s="41"/>
      <c r="D38" s="41"/>
      <c r="E38" s="47" t="s">
        <v>7</v>
      </c>
      <c r="F38" s="48"/>
      <c r="G38" s="37">
        <f>ROUNDUP(A40,0)</f>
        <v>0</v>
      </c>
    </row>
    <row r="39" spans="1:18" s="13" customFormat="1" ht="36" customHeight="1" x14ac:dyDescent="0.3">
      <c r="A39" s="42" t="str">
        <f>ConvertCurrencyToEnglish(G38)</f>
        <v xml:space="preserve"> Only</v>
      </c>
      <c r="B39" s="42"/>
      <c r="C39" s="42"/>
      <c r="D39" s="42"/>
      <c r="E39" s="42"/>
      <c r="F39" s="42"/>
      <c r="G39" s="42"/>
    </row>
    <row r="40" spans="1:18" s="3" customFormat="1" ht="15" customHeight="1" x14ac:dyDescent="0.25">
      <c r="A40" s="53">
        <f>SUM(G34:G36)</f>
        <v>0</v>
      </c>
      <c r="B40" s="54"/>
      <c r="C40" s="54"/>
      <c r="D40" s="54"/>
      <c r="E40" s="54"/>
      <c r="F40" s="54"/>
      <c r="G40" s="54"/>
    </row>
    <row r="41" spans="1:18" s="3" customFormat="1" ht="15" customHeight="1" x14ac:dyDescent="0.25">
      <c r="A41" s="54"/>
      <c r="B41" s="54"/>
      <c r="C41" s="54"/>
      <c r="D41" s="54"/>
      <c r="E41" s="54"/>
      <c r="F41" s="54"/>
      <c r="G41" s="54"/>
    </row>
    <row r="42" spans="1:18" s="3" customFormat="1" ht="9.9499999999999993" customHeight="1" x14ac:dyDescent="0.25">
      <c r="A42" s="54"/>
      <c r="B42" s="54"/>
      <c r="C42" s="54"/>
      <c r="D42" s="54"/>
      <c r="E42" s="54"/>
      <c r="F42" s="54"/>
      <c r="G42" s="54"/>
    </row>
    <row r="43" spans="1:18" s="27" customFormat="1" ht="21" customHeight="1" x14ac:dyDescent="0.2">
      <c r="A43" s="54"/>
      <c r="B43" s="54"/>
      <c r="C43" s="54"/>
      <c r="D43" s="54"/>
      <c r="E43" s="54"/>
      <c r="F43" s="54"/>
      <c r="G43" s="54"/>
    </row>
    <row r="44" spans="1:18" ht="15.95" customHeight="1" x14ac:dyDescent="0.3">
      <c r="A44" s="28"/>
      <c r="B44" s="17"/>
      <c r="C44" s="17"/>
      <c r="D44" s="17"/>
      <c r="E44" s="14"/>
      <c r="F44" s="14"/>
    </row>
    <row r="45" spans="1:18" ht="15.95" customHeight="1" x14ac:dyDescent="0.25">
      <c r="B45" s="51"/>
      <c r="C45" s="52"/>
      <c r="D45" s="52"/>
      <c r="E45" s="52"/>
    </row>
    <row r="46" spans="1:18" ht="15.95" customHeight="1" x14ac:dyDescent="0.25">
      <c r="B46" s="29"/>
      <c r="C46" s="30"/>
      <c r="D46" s="30"/>
      <c r="E46" s="30"/>
    </row>
    <row r="47" spans="1:18" ht="10.5" customHeight="1" x14ac:dyDescent="0.25"/>
    <row r="48" spans="1:18" x14ac:dyDescent="0.25">
      <c r="A48" s="31"/>
      <c r="B48" s="31"/>
      <c r="C48" s="31"/>
      <c r="D48" s="31"/>
      <c r="E48" s="31"/>
      <c r="F48" s="31"/>
    </row>
    <row r="201" spans="5:8" x14ac:dyDescent="0.25">
      <c r="E201" s="33" t="s">
        <v>15</v>
      </c>
      <c r="F201" s="33" t="s">
        <v>16</v>
      </c>
      <c r="G201" s="33"/>
      <c r="H201" s="33" t="s">
        <v>17</v>
      </c>
    </row>
    <row r="202" spans="5:8" x14ac:dyDescent="0.25">
      <c r="E202" s="33">
        <v>1521</v>
      </c>
      <c r="F202" s="33" t="s">
        <v>18</v>
      </c>
      <c r="G202" s="33"/>
      <c r="H202" s="33">
        <v>302.60000000000002</v>
      </c>
    </row>
    <row r="203" spans="5:8" x14ac:dyDescent="0.25">
      <c r="E203" s="33">
        <v>3164</v>
      </c>
      <c r="F203" s="33" t="s">
        <v>11</v>
      </c>
      <c r="G203" s="33"/>
      <c r="H203" s="33">
        <v>22</v>
      </c>
    </row>
    <row r="204" spans="5:8" x14ac:dyDescent="0.25">
      <c r="E204" s="33">
        <v>6861</v>
      </c>
      <c r="F204" s="33" t="s">
        <v>19</v>
      </c>
      <c r="G204" s="33"/>
      <c r="H204" s="33">
        <v>91.26</v>
      </c>
    </row>
    <row r="205" spans="5:8" x14ac:dyDescent="0.25">
      <c r="E205" s="33">
        <v>8192</v>
      </c>
      <c r="F205" s="33" t="s">
        <v>20</v>
      </c>
      <c r="G205" s="33"/>
      <c r="H205" s="33">
        <v>149</v>
      </c>
    </row>
    <row r="206" spans="5:8" x14ac:dyDescent="0.25">
      <c r="E206" s="33">
        <v>8234</v>
      </c>
      <c r="F206" s="33" t="s">
        <v>21</v>
      </c>
      <c r="G206" s="33"/>
      <c r="H206" s="33">
        <v>432</v>
      </c>
    </row>
    <row r="207" spans="5:8" x14ac:dyDescent="0.25">
      <c r="E207" s="33">
        <v>8235</v>
      </c>
      <c r="F207" s="33" t="s">
        <v>22</v>
      </c>
      <c r="G207" s="33"/>
      <c r="H207" s="33">
        <v>118</v>
      </c>
    </row>
    <row r="208" spans="5:8" x14ac:dyDescent="0.25">
      <c r="E208" s="33">
        <v>8237</v>
      </c>
      <c r="F208" s="33" t="s">
        <v>23</v>
      </c>
      <c r="G208" s="33"/>
      <c r="H208" s="33">
        <v>119</v>
      </c>
    </row>
    <row r="209" spans="5:8" x14ac:dyDescent="0.25">
      <c r="E209" s="33">
        <v>8353</v>
      </c>
      <c r="F209" s="33" t="s">
        <v>24</v>
      </c>
      <c r="G209" s="33"/>
      <c r="H209" s="33">
        <v>119</v>
      </c>
    </row>
    <row r="210" spans="5:8" x14ac:dyDescent="0.25">
      <c r="E210" s="33">
        <v>8363</v>
      </c>
      <c r="F210" s="33" t="s">
        <v>25</v>
      </c>
      <c r="G210" s="33"/>
      <c r="H210" s="33">
        <v>282</v>
      </c>
    </row>
    <row r="211" spans="5:8" x14ac:dyDescent="0.25">
      <c r="E211" s="33">
        <v>8364</v>
      </c>
      <c r="F211" s="33" t="s">
        <v>26</v>
      </c>
      <c r="G211" s="33"/>
      <c r="H211" s="33">
        <v>522</v>
      </c>
    </row>
    <row r="212" spans="5:8" x14ac:dyDescent="0.25">
      <c r="E212" s="33">
        <v>8365</v>
      </c>
      <c r="F212" s="33" t="s">
        <v>27</v>
      </c>
      <c r="G212" s="33"/>
      <c r="H212" s="33">
        <v>61</v>
      </c>
    </row>
    <row r="213" spans="5:8" x14ac:dyDescent="0.25">
      <c r="E213" s="33">
        <v>8366</v>
      </c>
      <c r="F213" s="33" t="s">
        <v>28</v>
      </c>
      <c r="G213" s="33"/>
      <c r="H213" s="33">
        <v>138</v>
      </c>
    </row>
    <row r="214" spans="5:8" x14ac:dyDescent="0.25">
      <c r="E214" s="33">
        <v>8367</v>
      </c>
      <c r="F214" s="33" t="s">
        <v>29</v>
      </c>
      <c r="G214" s="33"/>
      <c r="H214" s="33">
        <v>102</v>
      </c>
    </row>
    <row r="215" spans="5:8" x14ac:dyDescent="0.25">
      <c r="E215" s="33">
        <v>8369</v>
      </c>
      <c r="F215" s="33" t="s">
        <v>30</v>
      </c>
      <c r="G215" s="33"/>
      <c r="H215" s="33">
        <v>295</v>
      </c>
    </row>
    <row r="216" spans="5:8" x14ac:dyDescent="0.25">
      <c r="E216" s="33">
        <v>9346</v>
      </c>
      <c r="F216" s="33" t="s">
        <v>31</v>
      </c>
      <c r="G216" s="33"/>
      <c r="H216" s="33">
        <v>550</v>
      </c>
    </row>
    <row r="217" spans="5:8" x14ac:dyDescent="0.25">
      <c r="E217" s="33">
        <v>9347</v>
      </c>
      <c r="F217" s="33" t="s">
        <v>32</v>
      </c>
      <c r="G217" s="33"/>
      <c r="H217" s="33">
        <v>575</v>
      </c>
    </row>
    <row r="218" spans="5:8" x14ac:dyDescent="0.25">
      <c r="E218" s="33">
        <v>9681</v>
      </c>
      <c r="F218" s="33" t="s">
        <v>33</v>
      </c>
      <c r="G218" s="33"/>
      <c r="H218" s="33">
        <v>180</v>
      </c>
    </row>
    <row r="219" spans="5:8" x14ac:dyDescent="0.25">
      <c r="E219" s="33">
        <v>14020</v>
      </c>
      <c r="F219" s="33" t="s">
        <v>34</v>
      </c>
      <c r="G219" s="33"/>
      <c r="H219" s="33">
        <v>498</v>
      </c>
    </row>
    <row r="220" spans="5:8" x14ac:dyDescent="0.25">
      <c r="E220" s="33">
        <v>14021</v>
      </c>
      <c r="F220" s="33" t="s">
        <v>35</v>
      </c>
      <c r="G220" s="33"/>
      <c r="H220" s="33">
        <v>498</v>
      </c>
    </row>
    <row r="221" spans="5:8" x14ac:dyDescent="0.25">
      <c r="E221" s="33">
        <v>14022</v>
      </c>
      <c r="F221" s="33" t="s">
        <v>36</v>
      </c>
      <c r="G221" s="33"/>
      <c r="H221" s="33">
        <v>256</v>
      </c>
    </row>
    <row r="222" spans="5:8" x14ac:dyDescent="0.25">
      <c r="E222" s="33">
        <v>14031</v>
      </c>
      <c r="F222" s="33" t="s">
        <v>37</v>
      </c>
      <c r="G222" s="33"/>
      <c r="H222" s="33">
        <v>224</v>
      </c>
    </row>
    <row r="223" spans="5:8" x14ac:dyDescent="0.25">
      <c r="E223" s="33">
        <v>14037</v>
      </c>
      <c r="F223" s="33" t="s">
        <v>38</v>
      </c>
      <c r="G223" s="33"/>
      <c r="H223" s="33">
        <v>104</v>
      </c>
    </row>
    <row r="224" spans="5:8" x14ac:dyDescent="0.25">
      <c r="E224" s="33">
        <v>14060</v>
      </c>
      <c r="F224" s="33" t="s">
        <v>39</v>
      </c>
      <c r="G224" s="33"/>
      <c r="H224" s="33">
        <v>57</v>
      </c>
    </row>
    <row r="225" spans="5:8" x14ac:dyDescent="0.25">
      <c r="E225" s="33">
        <v>14063</v>
      </c>
      <c r="F225" s="33" t="s">
        <v>40</v>
      </c>
      <c r="G225" s="33"/>
      <c r="H225" s="33">
        <v>69</v>
      </c>
    </row>
    <row r="226" spans="5:8" x14ac:dyDescent="0.25">
      <c r="E226" s="33">
        <v>14066</v>
      </c>
      <c r="F226" s="33" t="s">
        <v>41</v>
      </c>
      <c r="G226" s="33"/>
      <c r="H226" s="33">
        <v>391</v>
      </c>
    </row>
    <row r="227" spans="5:8" x14ac:dyDescent="0.25">
      <c r="E227" s="33">
        <v>14077</v>
      </c>
      <c r="F227" s="33" t="s">
        <v>42</v>
      </c>
      <c r="G227" s="33"/>
      <c r="H227" s="33">
        <v>147</v>
      </c>
    </row>
    <row r="228" spans="5:8" x14ac:dyDescent="0.25">
      <c r="E228" s="33">
        <v>14168</v>
      </c>
      <c r="F228" s="33" t="s">
        <v>43</v>
      </c>
      <c r="G228" s="33"/>
      <c r="H228" s="33">
        <v>28</v>
      </c>
    </row>
    <row r="229" spans="5:8" x14ac:dyDescent="0.25">
      <c r="E229" s="33">
        <v>14176</v>
      </c>
      <c r="F229" s="33" t="s">
        <v>44</v>
      </c>
      <c r="G229" s="33"/>
      <c r="H229" s="33">
        <v>20</v>
      </c>
    </row>
    <row r="230" spans="5:8" x14ac:dyDescent="0.25">
      <c r="E230" s="33">
        <v>14765</v>
      </c>
      <c r="F230" s="33" t="s">
        <v>45</v>
      </c>
      <c r="G230" s="33"/>
      <c r="H230" s="33">
        <v>317</v>
      </c>
    </row>
    <row r="231" spans="5:8" x14ac:dyDescent="0.25">
      <c r="E231" s="33">
        <v>14786</v>
      </c>
      <c r="F231" s="33" t="s">
        <v>46</v>
      </c>
      <c r="G231" s="33"/>
      <c r="H231" s="33">
        <v>132</v>
      </c>
    </row>
    <row r="232" spans="5:8" x14ac:dyDescent="0.25">
      <c r="E232" s="33">
        <v>14787</v>
      </c>
      <c r="F232" s="33" t="s">
        <v>47</v>
      </c>
      <c r="G232" s="33"/>
      <c r="H232" s="33">
        <v>350</v>
      </c>
    </row>
    <row r="233" spans="5:8" x14ac:dyDescent="0.25">
      <c r="E233" s="33">
        <v>14788</v>
      </c>
      <c r="F233" s="33" t="s">
        <v>48</v>
      </c>
      <c r="G233" s="33"/>
      <c r="H233" s="33">
        <v>328</v>
      </c>
    </row>
    <row r="234" spans="5:8" x14ac:dyDescent="0.25">
      <c r="E234" s="33">
        <v>14798</v>
      </c>
      <c r="F234" s="33" t="s">
        <v>49</v>
      </c>
      <c r="G234" s="33"/>
      <c r="H234" s="33">
        <v>114</v>
      </c>
    </row>
    <row r="235" spans="5:8" x14ac:dyDescent="0.25">
      <c r="E235" s="33">
        <v>14925</v>
      </c>
      <c r="F235" s="33" t="s">
        <v>50</v>
      </c>
      <c r="G235" s="33"/>
      <c r="H235" s="33">
        <v>234</v>
      </c>
    </row>
    <row r="236" spans="5:8" x14ac:dyDescent="0.25">
      <c r="E236" s="33">
        <v>14937</v>
      </c>
      <c r="F236" s="33" t="s">
        <v>51</v>
      </c>
      <c r="G236" s="33"/>
      <c r="H236" s="33">
        <v>463</v>
      </c>
    </row>
    <row r="237" spans="5:8" x14ac:dyDescent="0.25">
      <c r="E237" s="33">
        <v>14956</v>
      </c>
      <c r="F237" s="33" t="s">
        <v>52</v>
      </c>
      <c r="G237" s="33"/>
      <c r="H237" s="33">
        <v>91</v>
      </c>
    </row>
    <row r="238" spans="5:8" x14ac:dyDescent="0.25">
      <c r="E238" s="33">
        <v>14972</v>
      </c>
      <c r="F238" s="33" t="s">
        <v>53</v>
      </c>
      <c r="G238" s="33"/>
      <c r="H238" s="33">
        <v>82</v>
      </c>
    </row>
    <row r="239" spans="5:8" x14ac:dyDescent="0.25">
      <c r="E239" s="33">
        <v>14993</v>
      </c>
      <c r="F239" s="33" t="s">
        <v>54</v>
      </c>
      <c r="G239" s="33"/>
      <c r="H239" s="33">
        <v>527</v>
      </c>
    </row>
    <row r="240" spans="5:8" x14ac:dyDescent="0.25">
      <c r="E240" s="33">
        <v>15047</v>
      </c>
      <c r="F240" s="33" t="s">
        <v>55</v>
      </c>
      <c r="G240" s="33"/>
      <c r="H240" s="33">
        <v>456</v>
      </c>
    </row>
    <row r="241" spans="5:8" x14ac:dyDescent="0.25">
      <c r="E241" s="33">
        <v>15048</v>
      </c>
      <c r="F241" s="33" t="s">
        <v>56</v>
      </c>
      <c r="G241" s="33"/>
      <c r="H241" s="33">
        <v>317</v>
      </c>
    </row>
    <row r="242" spans="5:8" x14ac:dyDescent="0.25">
      <c r="E242" s="33">
        <v>15072</v>
      </c>
      <c r="F242" s="33" t="s">
        <v>57</v>
      </c>
      <c r="G242" s="33"/>
      <c r="H242" s="33">
        <v>573</v>
      </c>
    </row>
    <row r="243" spans="5:8" x14ac:dyDescent="0.25">
      <c r="E243" s="33">
        <v>15168</v>
      </c>
      <c r="F243" s="33" t="s">
        <v>58</v>
      </c>
      <c r="G243" s="33"/>
      <c r="H243" s="33">
        <v>1006</v>
      </c>
    </row>
    <row r="244" spans="5:8" x14ac:dyDescent="0.25">
      <c r="E244" s="33">
        <v>15173</v>
      </c>
      <c r="F244" s="33" t="s">
        <v>58</v>
      </c>
      <c r="G244" s="33"/>
      <c r="H244" s="33">
        <v>963</v>
      </c>
    </row>
    <row r="245" spans="5:8" x14ac:dyDescent="0.25">
      <c r="E245" s="33">
        <v>15230</v>
      </c>
      <c r="F245" s="33" t="s">
        <v>59</v>
      </c>
      <c r="G245" s="33"/>
      <c r="H245" s="33">
        <v>84</v>
      </c>
    </row>
    <row r="246" spans="5:8" x14ac:dyDescent="0.25">
      <c r="E246" s="33">
        <v>15252</v>
      </c>
      <c r="F246" s="33" t="s">
        <v>60</v>
      </c>
      <c r="G246" s="33"/>
      <c r="H246" s="33">
        <v>818</v>
      </c>
    </row>
    <row r="247" spans="5:8" x14ac:dyDescent="0.25">
      <c r="E247" s="33">
        <v>15385</v>
      </c>
      <c r="F247" s="33" t="s">
        <v>61</v>
      </c>
      <c r="G247" s="33"/>
      <c r="H247" s="33">
        <v>316</v>
      </c>
    </row>
    <row r="248" spans="5:8" x14ac:dyDescent="0.25">
      <c r="E248" s="33">
        <v>15386</v>
      </c>
      <c r="F248" s="33" t="s">
        <v>62</v>
      </c>
      <c r="G248" s="33"/>
      <c r="H248" s="33">
        <v>1171</v>
      </c>
    </row>
    <row r="249" spans="5:8" x14ac:dyDescent="0.25">
      <c r="E249" s="33">
        <v>15408</v>
      </c>
      <c r="F249" s="33" t="s">
        <v>63</v>
      </c>
      <c r="G249" s="33"/>
      <c r="H249" s="33">
        <v>762</v>
      </c>
    </row>
    <row r="250" spans="5:8" x14ac:dyDescent="0.25">
      <c r="E250" s="33">
        <v>15450</v>
      </c>
      <c r="F250" s="33" t="s">
        <v>64</v>
      </c>
      <c r="G250" s="33"/>
      <c r="H250" s="33">
        <v>3074</v>
      </c>
    </row>
    <row r="251" spans="5:8" x14ac:dyDescent="0.25">
      <c r="E251" s="33">
        <v>15451</v>
      </c>
      <c r="F251" s="33" t="s">
        <v>65</v>
      </c>
      <c r="G251" s="33"/>
      <c r="H251" s="33">
        <v>2297</v>
      </c>
    </row>
    <row r="252" spans="5:8" x14ac:dyDescent="0.25">
      <c r="E252" s="33">
        <v>15680</v>
      </c>
      <c r="F252" s="33" t="s">
        <v>66</v>
      </c>
      <c r="G252" s="33"/>
      <c r="H252" s="33">
        <v>3206</v>
      </c>
    </row>
    <row r="253" spans="5:8" x14ac:dyDescent="0.25">
      <c r="E253" s="33">
        <v>15721</v>
      </c>
      <c r="F253" s="33" t="s">
        <v>67</v>
      </c>
      <c r="G253" s="33"/>
      <c r="H253" s="33">
        <v>132</v>
      </c>
    </row>
    <row r="254" spans="5:8" x14ac:dyDescent="0.25">
      <c r="E254" s="33">
        <v>15810</v>
      </c>
      <c r="F254" s="33" t="s">
        <v>68</v>
      </c>
      <c r="G254" s="33"/>
      <c r="H254" s="33">
        <v>121</v>
      </c>
    </row>
    <row r="255" spans="5:8" x14ac:dyDescent="0.25">
      <c r="E255" s="33">
        <v>15814</v>
      </c>
      <c r="F255" s="33" t="s">
        <v>69</v>
      </c>
      <c r="G255" s="33"/>
      <c r="H255" s="33">
        <v>104</v>
      </c>
    </row>
    <row r="256" spans="5:8" x14ac:dyDescent="0.25">
      <c r="E256" s="33">
        <v>15820</v>
      </c>
      <c r="F256" s="33" t="s">
        <v>70</v>
      </c>
      <c r="G256" s="33"/>
      <c r="H256" s="33">
        <v>69</v>
      </c>
    </row>
    <row r="257" spans="5:8" x14ac:dyDescent="0.25">
      <c r="E257" s="33">
        <v>15822</v>
      </c>
      <c r="F257" s="33" t="s">
        <v>71</v>
      </c>
      <c r="G257" s="33"/>
      <c r="H257" s="33">
        <v>391</v>
      </c>
    </row>
    <row r="258" spans="5:8" x14ac:dyDescent="0.25">
      <c r="E258" s="33">
        <v>15855</v>
      </c>
      <c r="F258" s="33" t="s">
        <v>72</v>
      </c>
      <c r="G258" s="33"/>
      <c r="H258" s="33">
        <v>964</v>
      </c>
    </row>
    <row r="259" spans="5:8" x14ac:dyDescent="0.25">
      <c r="E259" s="33">
        <v>16438</v>
      </c>
      <c r="F259" s="33" t="s">
        <v>73</v>
      </c>
      <c r="G259" s="33"/>
      <c r="H259" s="33">
        <v>358</v>
      </c>
    </row>
    <row r="260" spans="5:8" x14ac:dyDescent="0.25">
      <c r="E260" s="33">
        <v>16439</v>
      </c>
      <c r="F260" s="33" t="s">
        <v>74</v>
      </c>
      <c r="G260" s="33"/>
      <c r="H260" s="33">
        <v>232</v>
      </c>
    </row>
    <row r="261" spans="5:8" x14ac:dyDescent="0.25">
      <c r="E261" s="33">
        <v>16447</v>
      </c>
      <c r="F261" s="33" t="s">
        <v>75</v>
      </c>
      <c r="G261" s="33"/>
      <c r="H261" s="33">
        <v>261</v>
      </c>
    </row>
    <row r="262" spans="5:8" x14ac:dyDescent="0.25">
      <c r="E262" s="33">
        <v>16448</v>
      </c>
      <c r="F262" s="33" t="s">
        <v>76</v>
      </c>
      <c r="G262" s="33"/>
      <c r="H262" s="33">
        <v>915</v>
      </c>
    </row>
    <row r="263" spans="5:8" x14ac:dyDescent="0.25">
      <c r="E263" s="33">
        <v>16449</v>
      </c>
      <c r="F263" s="33" t="s">
        <v>77</v>
      </c>
      <c r="G263" s="33"/>
      <c r="H263" s="33">
        <v>69</v>
      </c>
    </row>
    <row r="264" spans="5:8" x14ac:dyDescent="0.25">
      <c r="E264" s="33">
        <v>16549</v>
      </c>
      <c r="F264" s="33" t="s">
        <v>78</v>
      </c>
      <c r="G264" s="33"/>
      <c r="H264" s="33">
        <v>2464</v>
      </c>
    </row>
    <row r="265" spans="5:8" x14ac:dyDescent="0.25">
      <c r="E265" s="33">
        <v>16612</v>
      </c>
      <c r="F265" s="33" t="s">
        <v>79</v>
      </c>
      <c r="G265" s="33"/>
      <c r="H265" s="33">
        <v>915</v>
      </c>
    </row>
    <row r="266" spans="5:8" x14ac:dyDescent="0.25">
      <c r="E266" s="33">
        <v>16613</v>
      </c>
      <c r="F266" s="33" t="s">
        <v>80</v>
      </c>
      <c r="G266" s="33"/>
      <c r="H266" s="33">
        <v>788</v>
      </c>
    </row>
    <row r="267" spans="5:8" x14ac:dyDescent="0.25">
      <c r="E267" s="33">
        <v>16616</v>
      </c>
      <c r="F267" s="33" t="s">
        <v>81</v>
      </c>
      <c r="G267" s="33"/>
      <c r="H267" s="33">
        <v>747</v>
      </c>
    </row>
    <row r="268" spans="5:8" x14ac:dyDescent="0.25">
      <c r="E268" s="33">
        <v>16617</v>
      </c>
      <c r="F268" s="33" t="s">
        <v>82</v>
      </c>
      <c r="G268" s="33"/>
      <c r="H268" s="33">
        <v>691</v>
      </c>
    </row>
    <row r="269" spans="5:8" x14ac:dyDescent="0.25">
      <c r="E269" s="33">
        <v>16650</v>
      </c>
      <c r="F269" s="33" t="s">
        <v>83</v>
      </c>
      <c r="G269" s="33"/>
      <c r="H269" s="33">
        <v>200</v>
      </c>
    </row>
    <row r="270" spans="5:8" x14ac:dyDescent="0.25">
      <c r="E270" s="33">
        <v>16665</v>
      </c>
      <c r="F270" s="33" t="s">
        <v>84</v>
      </c>
      <c r="G270" s="33"/>
      <c r="H270" s="33">
        <v>391</v>
      </c>
    </row>
    <row r="271" spans="5:8" x14ac:dyDescent="0.25">
      <c r="E271" s="33">
        <v>16895</v>
      </c>
      <c r="F271" s="33" t="s">
        <v>85</v>
      </c>
      <c r="G271" s="33"/>
      <c r="H271" s="33">
        <v>391.1</v>
      </c>
    </row>
    <row r="272" spans="5:8" x14ac:dyDescent="0.25">
      <c r="E272" s="33">
        <v>16948</v>
      </c>
      <c r="F272" s="33" t="s">
        <v>86</v>
      </c>
      <c r="G272" s="33"/>
      <c r="H272" s="33">
        <v>1816</v>
      </c>
    </row>
    <row r="273" spans="5:8" x14ac:dyDescent="0.25">
      <c r="E273" s="33">
        <v>17163</v>
      </c>
      <c r="F273" s="33" t="s">
        <v>87</v>
      </c>
      <c r="G273" s="33"/>
      <c r="H273" s="33">
        <v>363</v>
      </c>
    </row>
    <row r="274" spans="5:8" x14ac:dyDescent="0.25">
      <c r="E274" s="33">
        <v>21081</v>
      </c>
      <c r="F274" s="33" t="s">
        <v>88</v>
      </c>
      <c r="G274" s="33"/>
      <c r="H274" s="33">
        <v>33.384999999999998</v>
      </c>
    </row>
    <row r="275" spans="5:8" x14ac:dyDescent="0.25">
      <c r="E275" s="33">
        <v>21207</v>
      </c>
      <c r="F275" s="33" t="s">
        <v>89</v>
      </c>
      <c r="G275" s="33"/>
      <c r="H275" s="33">
        <v>69.635000000000005</v>
      </c>
    </row>
    <row r="276" spans="5:8" x14ac:dyDescent="0.25">
      <c r="E276" s="33">
        <v>21235</v>
      </c>
      <c r="F276" s="33" t="s">
        <v>90</v>
      </c>
      <c r="G276" s="33"/>
      <c r="H276" s="33">
        <v>104.875</v>
      </c>
    </row>
    <row r="277" spans="5:8" x14ac:dyDescent="0.25">
      <c r="E277" s="33">
        <v>21738</v>
      </c>
      <c r="F277" s="33" t="s">
        <v>91</v>
      </c>
      <c r="G277" s="33"/>
      <c r="H277" s="33">
        <v>58.95</v>
      </c>
    </row>
    <row r="278" spans="5:8" x14ac:dyDescent="0.25">
      <c r="E278" s="33">
        <v>24168</v>
      </c>
      <c r="F278" s="33" t="s">
        <v>92</v>
      </c>
      <c r="G278" s="33"/>
      <c r="H278" s="33">
        <v>151.47999999999999</v>
      </c>
    </row>
    <row r="279" spans="5:8" x14ac:dyDescent="0.25">
      <c r="E279" s="33">
        <v>24467</v>
      </c>
      <c r="F279" s="33" t="s">
        <v>93</v>
      </c>
      <c r="G279" s="33"/>
      <c r="H279" s="33">
        <v>136.94999999999999</v>
      </c>
    </row>
    <row r="280" spans="5:8" x14ac:dyDescent="0.25">
      <c r="E280" s="33">
        <v>15434</v>
      </c>
      <c r="F280" s="33" t="s">
        <v>94</v>
      </c>
      <c r="G280" s="33"/>
      <c r="H280" s="33">
        <v>59</v>
      </c>
    </row>
    <row r="281" spans="5:8" x14ac:dyDescent="0.25">
      <c r="E281" s="33">
        <v>17137</v>
      </c>
      <c r="F281" s="33" t="s">
        <v>95</v>
      </c>
      <c r="G281" s="33"/>
      <c r="H281" s="33">
        <v>2316</v>
      </c>
    </row>
    <row r="282" spans="5:8" x14ac:dyDescent="0.25">
      <c r="E282" s="33">
        <v>17138</v>
      </c>
      <c r="F282" s="33" t="s">
        <v>96</v>
      </c>
      <c r="G282" s="33"/>
      <c r="H282" s="33">
        <v>352</v>
      </c>
    </row>
    <row r="283" spans="5:8" x14ac:dyDescent="0.25">
      <c r="E283" s="33">
        <v>17139</v>
      </c>
      <c r="F283" s="33" t="s">
        <v>97</v>
      </c>
      <c r="G283" s="33"/>
      <c r="H283" s="33">
        <v>204</v>
      </c>
    </row>
    <row r="284" spans="5:8" x14ac:dyDescent="0.25">
      <c r="E284" s="33">
        <v>17140</v>
      </c>
      <c r="F284" s="33" t="s">
        <v>98</v>
      </c>
      <c r="G284" s="33"/>
      <c r="H284" s="33">
        <v>151</v>
      </c>
    </row>
    <row r="285" spans="5:8" x14ac:dyDescent="0.25">
      <c r="E285" s="33">
        <v>17141</v>
      </c>
      <c r="F285" s="33" t="s">
        <v>99</v>
      </c>
      <c r="G285" s="33"/>
      <c r="H285" s="33">
        <v>1526</v>
      </c>
    </row>
    <row r="286" spans="5:8" x14ac:dyDescent="0.25">
      <c r="E286" s="33">
        <v>17142</v>
      </c>
      <c r="F286" s="33" t="s">
        <v>100</v>
      </c>
      <c r="G286" s="33"/>
      <c r="H286" s="33">
        <v>283</v>
      </c>
    </row>
    <row r="287" spans="5:8" x14ac:dyDescent="0.25">
      <c r="E287" s="33">
        <v>17143</v>
      </c>
      <c r="F287" s="33" t="s">
        <v>101</v>
      </c>
      <c r="G287" s="33"/>
      <c r="H287" s="33">
        <v>233</v>
      </c>
    </row>
    <row r="288" spans="5:8" x14ac:dyDescent="0.25">
      <c r="E288" s="33">
        <v>17144</v>
      </c>
      <c r="F288" s="33" t="s">
        <v>102</v>
      </c>
      <c r="G288" s="33"/>
      <c r="H288" s="33">
        <v>2640</v>
      </c>
    </row>
    <row r="289" spans="5:8" x14ac:dyDescent="0.25">
      <c r="E289" s="33">
        <v>17145</v>
      </c>
      <c r="F289" s="33" t="s">
        <v>103</v>
      </c>
      <c r="G289" s="33"/>
      <c r="H289" s="33">
        <v>2351</v>
      </c>
    </row>
  </sheetData>
  <mergeCells count="29">
    <mergeCell ref="B45:E45"/>
    <mergeCell ref="C19:D19"/>
    <mergeCell ref="C24:D24"/>
    <mergeCell ref="C25:D25"/>
    <mergeCell ref="C28:D28"/>
    <mergeCell ref="C31:D31"/>
    <mergeCell ref="C32:D32"/>
    <mergeCell ref="C22:D22"/>
    <mergeCell ref="C23:D23"/>
    <mergeCell ref="C29:D29"/>
    <mergeCell ref="C30:D30"/>
    <mergeCell ref="C26:D26"/>
    <mergeCell ref="C27:D27"/>
    <mergeCell ref="C33:D33"/>
    <mergeCell ref="A40:G43"/>
    <mergeCell ref="C34:D34"/>
    <mergeCell ref="C17:D17"/>
    <mergeCell ref="C18:D18"/>
    <mergeCell ref="C20:D20"/>
    <mergeCell ref="C21:D21"/>
    <mergeCell ref="C16:D16"/>
    <mergeCell ref="C38:D38"/>
    <mergeCell ref="A39:G39"/>
    <mergeCell ref="C35:D36"/>
    <mergeCell ref="E35:F35"/>
    <mergeCell ref="E34:F34"/>
    <mergeCell ref="E36:F36"/>
    <mergeCell ref="E38:F38"/>
    <mergeCell ref="E37:F37"/>
  </mergeCells>
  <phoneticPr fontId="1" type="noConversion"/>
  <conditionalFormatting sqref="C17:D33">
    <cfRule type="cellIs" dxfId="4" priority="3" operator="equal">
      <formula>0</formula>
    </cfRule>
  </conditionalFormatting>
  <conditionalFormatting sqref="F17:F33">
    <cfRule type="cellIs" dxfId="3" priority="2" operator="equal">
      <formula>0</formula>
    </cfRule>
  </conditionalFormatting>
  <conditionalFormatting sqref="G17:G38">
    <cfRule type="cellIs" dxfId="2" priority="1" operator="equal">
      <formula>0</formula>
    </cfRule>
  </conditionalFormatting>
  <printOptions horizontalCentered="1"/>
  <pageMargins left="0.75" right="0.75" top="0.5" bottom="0.5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61F56204-47F9-40BF-AD75-C95F2EE476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Sales Order</vt:lpstr>
      <vt:lpstr>'Sales Order'!Print_Area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Sales order (Simple Lines design)</dc:title>
  <dc:creator>DELL</dc:creator>
  <cp:keywords/>
  <cp:lastModifiedBy>Yatin Patel</cp:lastModifiedBy>
  <cp:lastPrinted>2009-01-01T08:17:58Z</cp:lastPrinted>
  <dcterms:created xsi:type="dcterms:W3CDTF">2017-09-29T06:36:37Z</dcterms:created>
  <dcterms:modified xsi:type="dcterms:W3CDTF">2017-12-10T17:45:43Z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TC101514321033</vt:lpwstr>
  </property>
</Properties>
</file>